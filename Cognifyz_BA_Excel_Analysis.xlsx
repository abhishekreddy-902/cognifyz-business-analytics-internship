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ml.chartsha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Cognify Internship Files\"/>
    </mc:Choice>
  </mc:AlternateContent>
  <xr:revisionPtr revIDLastSave="0" documentId="13_ncr:1_{BBF2DAF3-F59B-4D66-ACD0-7E48856E43DC}" xr6:coauthVersionLast="47" xr6:coauthVersionMax="47" xr10:uidLastSave="{00000000-0000-0000-0000-000000000000}"/>
  <bookViews>
    <workbookView xWindow="-108" yWindow="-108" windowWidth="23256" windowHeight="12456" xr2:uid="{6730AA1E-502F-4626-9E71-0DDD4A381A8A}"/>
  </bookViews>
  <sheets>
    <sheet name="Pivot table &amp; Charts" sheetId="3" r:id="rId1"/>
    <sheet name="Data_set 2 - Copy" sheetId="1" r:id="rId2"/>
    <sheet name="Descriptive Statistics" sheetId="2" r:id="rId3"/>
  </sheets>
  <definedNames>
    <definedName name="_xlnm._FilterDatabase" localSheetId="1" hidden="1">'Data_set 2 - Copy'!$A$1:$X$41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B5" i="2"/>
  <c r="F5" i="2"/>
  <c r="E5" i="2"/>
  <c r="D5" i="2"/>
  <c r="C5" i="2"/>
  <c r="F4" i="2"/>
  <c r="E4" i="2"/>
  <c r="D4" i="2"/>
  <c r="C4" i="2"/>
  <c r="B4" i="2"/>
  <c r="F3" i="2"/>
  <c r="E3" i="2"/>
  <c r="D3" i="2"/>
  <c r="C3" i="2"/>
  <c r="B3" i="2"/>
  <c r="B2" i="2"/>
  <c r="C2" i="2"/>
  <c r="E2" i="2"/>
  <c r="F2" i="2"/>
  <c r="D2" i="2"/>
</calcChain>
</file>

<file path=xl/sharedStrings.xml><?xml version="1.0" encoding="utf-8"?>
<sst xmlns="http://schemas.openxmlformats.org/spreadsheetml/2006/main" count="710" uniqueCount="84">
  <si>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</si>
  <si>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</si>
  <si>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</si>
  <si>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</si>
  <si>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</si>
  <si>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</si>
  <si>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</si>
  <si>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</si>
  <si>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</si>
  <si>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</si>
  <si>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</si>
  <si>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</si>
  <si>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</si>
  <si>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</si>
  <si>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</si>
  <si>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</si>
  <si>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</si>
  <si>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</si>
  <si>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</si>
  <si>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</si>
  <si>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</si>
  <si>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</si>
  <si>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</si>
  <si>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</si>
  <si>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</si>
  <si>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</si>
  <si>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</si>
  <si>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</si>
  <si>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</si>
  <si>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</si>
  <si>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</si>
  <si>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</si>
  <si>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</si>
  <si>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</si>
  <si>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</si>
  <si>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</si>
  <si>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</si>
  <si>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</si>
  <si>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</si>
  <si>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</si>
  <si>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</si>
  <si>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</si>
  <si>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</si>
  <si>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</si>
  <si>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</si>
  <si>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</si>
  <si>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</si>
  <si>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</si>
  <si>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</si>
  <si>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</si>
  <si>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</si>
  <si>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</si>
  <si>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</si>
  <si>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</si>
  <si>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</si>
  <si>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</si>
  <si>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</si>
  <si>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</si>
  <si>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</si>
  <si>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</si>
  <si>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</si>
  <si>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</si>
  <si>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</si>
  <si>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</si>
  <si>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</si>
  <si>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</si>
  <si>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</si>
  <si>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Savings Objective</t>
  </si>
  <si>
    <t xml:space="preserve">Column </t>
  </si>
  <si>
    <t xml:space="preserve">Mean </t>
  </si>
  <si>
    <t>Median</t>
  </si>
  <si>
    <t>Std dev</t>
  </si>
  <si>
    <t xml:space="preserve">Min </t>
  </si>
  <si>
    <t xml:space="preserve">Max </t>
  </si>
  <si>
    <t>Mutual Funds</t>
  </si>
  <si>
    <t>Equity Market</t>
  </si>
  <si>
    <t>Government Bonds</t>
  </si>
  <si>
    <t>Row Labels</t>
  </si>
  <si>
    <t>Grand Total</t>
  </si>
  <si>
    <t>Count of gender</t>
  </si>
  <si>
    <t>Count of Avenue</t>
  </si>
  <si>
    <t>Count of Mutual_Funds</t>
  </si>
  <si>
    <t>Count of Source</t>
  </si>
  <si>
    <t>Count of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</si>
</sst>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66FF"/>
      <color rgb="FFD60093"/>
      <color rgb="FFFF0066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Distribution</a:t>
            </a:r>
            <a:endParaRPr lang="en-IN"/>
          </a:p>
        </c:rich>
      </c:tx>
      <c:layout>
        <c:manualLayout>
          <c:xMode val="edge"/>
          <c:yMode val="edge"/>
          <c:x val="0.16665276112009178"/>
          <c:y val="5.6772100567721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5A-4866-92B3-912C17D882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5A-4866-92B3-912C17D882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Charts'!$A$4:$A$6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 &amp; Charts'!$B$4:$B$6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A-4866-92B3-912C17D88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30">
      <a:fgClr>
        <a:schemeClr val="accent1"/>
      </a:fgClr>
      <a:bgClr>
        <a:schemeClr val="bg1"/>
      </a:bgClr>
    </a:pattFill>
    <a:ln w="9525" cap="flat" cmpd="sng" algn="ctr">
      <a:noFill/>
      <a:round/>
    </a:ln>
    <a:effectLst>
      <a:glow rad="127000">
        <a:schemeClr val="bg1"/>
      </a:glow>
      <a:outerShdw dir="5400000" sx="179000" sy="179000" algn="ctr" rotWithShape="0">
        <a:srgbClr val="000000">
          <a:alpha val="0"/>
        </a:srgbClr>
      </a:outerShdw>
      <a:softEdge rad="0"/>
    </a:effectLst>
    <a:scene3d>
      <a:camera prst="orthographicFront"/>
      <a:lightRig rig="sunrise" dir="t"/>
    </a:scene3d>
    <a:sp3d prstMaterial="clear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aseline="0"/>
              <a:t> Most Preferred Investment Avenue </a:t>
            </a:r>
          </a:p>
        </c:rich>
      </c:tx>
      <c:layout>
        <c:manualLayout>
          <c:xMode val="edge"/>
          <c:yMode val="edge"/>
          <c:x val="0.12301738492365874"/>
          <c:y val="2.4330900243309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33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3399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8053527980535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3399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82481751824817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C3399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76399026763990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C3399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9489051094890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664578218045328E-2"/>
          <c:y val="0.20127737226277376"/>
          <c:w val="0.90143369175627241"/>
          <c:h val="0.554389620093108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&amp; Charts'!$B$13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C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5A-4208-98AD-D89EDFB0D237}"/>
              </c:ext>
            </c:extLst>
          </c:dPt>
          <c:dPt>
            <c:idx val="1"/>
            <c:invertIfNegative val="0"/>
            <c:bubble3D val="0"/>
            <c:spPr>
              <a:solidFill>
                <a:srgbClr val="CC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5A-4208-98AD-D89EDFB0D237}"/>
              </c:ext>
            </c:extLst>
          </c:dPt>
          <c:dPt>
            <c:idx val="2"/>
            <c:invertIfNegative val="0"/>
            <c:bubble3D val="0"/>
            <c:spPr>
              <a:solidFill>
                <a:srgbClr val="CC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85A-4208-98AD-D89EDFB0D237}"/>
              </c:ext>
            </c:extLst>
          </c:dPt>
          <c:dPt>
            <c:idx val="3"/>
            <c:invertIfNegative val="0"/>
            <c:bubble3D val="0"/>
            <c:spPr>
              <a:solidFill>
                <a:srgbClr val="CC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5A-4208-98AD-D89EDFB0D237}"/>
              </c:ext>
            </c:extLst>
          </c:dPt>
          <c:dLbls>
            <c:dLbl>
              <c:idx val="0"/>
              <c:layout>
                <c:manualLayout>
                  <c:x val="0"/>
                  <c:y val="-0.298053527980535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5A-4208-98AD-D89EDFB0D237}"/>
                </c:ext>
              </c:extLst>
            </c:dLbl>
            <c:dLbl>
              <c:idx val="1"/>
              <c:layout>
                <c:manualLayout>
                  <c:x val="0"/>
                  <c:y val="-0.176399026763990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5A-4208-98AD-D89EDFB0D237}"/>
                </c:ext>
              </c:extLst>
            </c:dLbl>
            <c:dLbl>
              <c:idx val="2"/>
              <c:layout>
                <c:manualLayout>
                  <c:x val="0"/>
                  <c:y val="-0.182481751824817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5A-4208-98AD-D89EDFB0D237}"/>
                </c:ext>
              </c:extLst>
            </c:dLbl>
            <c:dLbl>
              <c:idx val="3"/>
              <c:layout>
                <c:manualLayout>
                  <c:x val="0"/>
                  <c:y val="-0.109489051094890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5A-4208-98AD-D89EDFB0D2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&amp; Charts'!$A$14:$A$18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'Pivot table &amp; Charts'!$B$14:$B$18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1-4999-931E-5E3E13CCDF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970596335"/>
        <c:axId val="1970594895"/>
      </c:barChart>
      <c:catAx>
        <c:axId val="197059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94895"/>
        <c:crosses val="autoZero"/>
        <c:auto val="1"/>
        <c:lblAlgn val="ctr"/>
        <c:lblOffset val="100"/>
        <c:noMultiLvlLbl val="0"/>
      </c:catAx>
      <c:valAx>
        <c:axId val="19705948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596335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139700">
            <a:schemeClr val="accent3">
              <a:satMod val="175000"/>
              <a:alpha val="40000"/>
            </a:schemeClr>
          </a:glow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Gender Distribution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281417492716323"/>
          <c:y val="2.3041474654377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3937432578209281E-3"/>
              <c:y val="-0.291858678955453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6009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734254992319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25207043294345"/>
          <c:y val="0.19201228878648233"/>
          <c:w val="0.81138547002013095"/>
          <c:h val="0.668216069765472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14-4998-B906-559F08A4EF37}"/>
              </c:ext>
            </c:extLst>
          </c:dPt>
          <c:dPt>
            <c:idx val="1"/>
            <c:invertIfNegative val="0"/>
            <c:bubble3D val="0"/>
            <c:spPr>
              <a:solidFill>
                <a:srgbClr val="D6009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14-4998-B906-559F08A4EF37}"/>
              </c:ext>
            </c:extLst>
          </c:dPt>
          <c:dLbls>
            <c:dLbl>
              <c:idx val="0"/>
              <c:layout>
                <c:manualLayout>
                  <c:x val="-5.3937432578209281E-3"/>
                  <c:y val="-0.291858678955453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14-4998-B906-559F08A4EF37}"/>
                </c:ext>
              </c:extLst>
            </c:dLbl>
            <c:dLbl>
              <c:idx val="1"/>
              <c:layout>
                <c:manualLayout>
                  <c:x val="0"/>
                  <c:y val="-0.222734254992319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14-4998-B906-559F08A4EF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Charts'!$A$4:$A$6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 &amp; Charts'!$B$4:$B$6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4-4998-B906-559F08A4EF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6195343"/>
        <c:axId val="1056179023"/>
      </c:barChart>
      <c:catAx>
        <c:axId val="1056195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9023"/>
        <c:crosses val="autoZero"/>
        <c:auto val="1"/>
        <c:lblAlgn val="ctr"/>
        <c:lblOffset val="100"/>
        <c:noMultiLvlLbl val="0"/>
      </c:catAx>
      <c:valAx>
        <c:axId val="1056179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9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</a:t>
            </a:r>
            <a:r>
              <a:rPr lang="en-US" baseline="0"/>
              <a:t> Objective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16424181545208"/>
              <c:y val="-1.5896597830931511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1D2A6A3-A613-45DC-9125-9DDB9C96C6AC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21942F5-D5E3-43A0-A2D3-E6E9A3F038E5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177446183424602"/>
              <c:y val="-7.906700341702570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DECB65F1-B67F-4821-8BDD-E721B16391C7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21942F5-D5E3-43A0-A2D3-E6E9A3F038E5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16424181545208"/>
              <c:y val="-1.5896597830931511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1D2A6A3-A613-45DC-9125-9DDB9C96C6AC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177446183424602"/>
              <c:y val="-7.906700341702570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DECB65F1-B67F-4821-8BDD-E721B16391C7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21942F5-D5E3-43A0-A2D3-E6E9A3F038E5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16424181545208"/>
              <c:y val="-1.5896597830931511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1D2A6A3-A613-45DC-9125-9DDB9C96C6AC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177446183424602"/>
              <c:y val="-7.906700341702570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DECB65F1-B67F-4821-8BDD-E721B16391C7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729915984120076"/>
          <c:y val="0.24579191517561302"/>
          <c:w val="0.4305276381909548"/>
          <c:h val="0.68131212723658052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F-4DF7-B0B7-662448461BBF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F-4DF7-B0B7-662448461BBF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3F-4DF7-B0B7-662448461BB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21942F5-D5E3-43A0-A2D3-E6E9A3F038E5}" type="PERCENTAGE">
                      <a:rPr lang="en-US" baseline="0"/>
                      <a:pPr/>
                      <a:t>[PERCENTAGE]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03F-4DF7-B0B7-662448461BBF}"/>
                </c:ext>
              </c:extLst>
            </c:dLbl>
            <c:dLbl>
              <c:idx val="1"/>
              <c:layout>
                <c:manualLayout>
                  <c:x val="-0.11816424181545208"/>
                  <c:y val="-1.5896597830931511E-3"/>
                </c:manualLayout>
              </c:layout>
              <c:tx>
                <c:rich>
                  <a:bodyPr/>
                  <a:lstStyle/>
                  <a:p>
                    <a:fld id="{91D2A6A3-A613-45DC-9125-9DDB9C96C6AC}" type="PERCENTAGE">
                      <a:rPr lang="en-US" baseline="0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03F-4DF7-B0B7-662448461BBF}"/>
                </c:ext>
              </c:extLst>
            </c:dLbl>
            <c:dLbl>
              <c:idx val="2"/>
              <c:layout>
                <c:manualLayout>
                  <c:x val="0.13177446183424602"/>
                  <c:y val="-7.9067003417025702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DECB65F1-B67F-4821-8BDD-E721B16391C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03F-4DF7-B0B7-662448461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Education</c:v>
              </c:pt>
              <c:pt idx="1">
                <c:v>Health Care</c:v>
              </c:pt>
              <c:pt idx="2">
                <c:v>Retirement Plan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13</c:v>
              </c:pt>
              <c:pt idx="2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6-503F-4DF7-B0B7-66244846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Mutual</a:t>
            </a:r>
            <a:r>
              <a:rPr lang="en-US" baseline="0"/>
              <a:t> Fund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38948083234978"/>
          <c:y val="0.26523053665910806"/>
          <c:w val="0.64709238090618548"/>
          <c:h val="0.544306366466096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&amp; Charts'!$B$26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Charts'!$A$27:$A$30</c:f>
              <c:strCache>
                <c:ptCount val="3"/>
                <c:pt idx="0">
                  <c:v>Better Returns</c:v>
                </c:pt>
                <c:pt idx="1">
                  <c:v>Fund Diversification</c:v>
                </c:pt>
                <c:pt idx="2">
                  <c:v>Tax Benefits</c:v>
                </c:pt>
              </c:strCache>
            </c:strRef>
          </c:cat>
          <c:val>
            <c:numRef>
              <c:f>'Pivot table &amp; Charts'!$B$27:$B$30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D-44C0-A777-9E74A8902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6222223"/>
        <c:axId val="1056223183"/>
      </c:barChart>
      <c:catAx>
        <c:axId val="105622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23183"/>
        <c:crosses val="autoZero"/>
        <c:auto val="1"/>
        <c:lblAlgn val="ctr"/>
        <c:lblOffset val="100"/>
        <c:noMultiLvlLbl val="0"/>
      </c:catAx>
      <c:valAx>
        <c:axId val="10562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2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Equity</a:t>
            </a:r>
            <a:r>
              <a:rPr lang="en-US" baseline="0"/>
              <a:t>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5.986137366099553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0712035286704474"/>
              <c:y val="-6.07459295810099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30560806553245118"/>
              <c:y val="6.62690523525501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789693821353617"/>
          <c:y val="0.23916500994035789"/>
          <c:w val="0.66992914874298559"/>
          <c:h val="0.6004753630448281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 &amp; Charts'!$B$35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Charts'!$A$36:$A$40</c:f>
              <c:strCache>
                <c:ptCount val="4"/>
                <c:pt idx="0">
                  <c:v>Internet</c:v>
                </c:pt>
                <c:pt idx="1">
                  <c:v>Television</c:v>
                </c:pt>
                <c:pt idx="2">
                  <c:v>Newspapers and Magazines</c:v>
                </c:pt>
                <c:pt idx="3">
                  <c:v>Financial Consultants</c:v>
                </c:pt>
              </c:strCache>
            </c:strRef>
          </c:cat>
          <c:val>
            <c:numRef>
              <c:f>'Pivot table &amp; Charts'!$B$36:$B$40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3B-4C9B-BC1A-02DA1EFC8A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6399615"/>
        <c:axId val="926418815"/>
      </c:barChart>
      <c:catAx>
        <c:axId val="92639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18815"/>
        <c:crosses val="autoZero"/>
        <c:auto val="1"/>
        <c:lblAlgn val="ctr"/>
        <c:lblOffset val="100"/>
        <c:noMultiLvlLbl val="0"/>
      </c:catAx>
      <c:valAx>
        <c:axId val="92641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9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FD</a:t>
            </a:r>
            <a:r>
              <a:rPr lang="en-IN" baseline="0"/>
              <a:t> Reasons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CC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C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Risk Free</c:v>
              </c:pt>
              <c:pt idx="1">
                <c:v>Fixed Returns</c:v>
              </c:pt>
              <c:pt idx="2">
                <c:v>High Interest Rates</c:v>
              </c:pt>
            </c:strLit>
          </c:cat>
          <c:val>
            <c:numLit>
              <c:formatCode>General</c:formatCode>
              <c:ptCount val="3"/>
              <c:pt idx="0">
                <c:v>19</c:v>
              </c:pt>
              <c:pt idx="1">
                <c:v>18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5E33-44BB-94DF-28124CD0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6177103"/>
        <c:axId val="1056193903"/>
      </c:barChart>
      <c:catAx>
        <c:axId val="105617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93903"/>
        <c:crosses val="autoZero"/>
        <c:auto val="1"/>
        <c:lblAlgn val="ctr"/>
        <c:lblOffset val="100"/>
        <c:noMultiLvlLbl val="0"/>
      </c:catAx>
      <c:valAx>
        <c:axId val="105619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Common</a:t>
            </a:r>
            <a:r>
              <a:rPr lang="en-US" baseline="0"/>
              <a:t> Investment Information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 Charts'!$B$35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Charts'!$A$36:$A$40</c:f>
              <c:strCache>
                <c:ptCount val="4"/>
                <c:pt idx="0">
                  <c:v>Internet</c:v>
                </c:pt>
                <c:pt idx="1">
                  <c:v>Television</c:v>
                </c:pt>
                <c:pt idx="2">
                  <c:v>Newspapers and Magazines</c:v>
                </c:pt>
                <c:pt idx="3">
                  <c:v>Financial Consultants</c:v>
                </c:pt>
              </c:strCache>
            </c:strRef>
          </c:cat>
          <c:val>
            <c:numRef>
              <c:f>'Pivot table &amp; Charts'!$B$36:$B$40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D-4893-862D-D2D72353C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473535"/>
        <c:axId val="1332472575"/>
      </c:barChart>
      <c:catAx>
        <c:axId val="133247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72575"/>
        <c:crosses val="autoZero"/>
        <c:auto val="1"/>
        <c:lblAlgn val="ctr"/>
        <c:lblOffset val="100"/>
        <c:noMultiLvlLbl val="0"/>
      </c:catAx>
      <c:valAx>
        <c:axId val="133247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7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Duration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Charts'!$B$47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Charts'!$A$48:$A$52</c:f>
              <c:strCache>
                <c:ptCount val="4"/>
                <c:pt idx="0">
                  <c:v>3-5 years</c:v>
                </c:pt>
                <c:pt idx="1">
                  <c:v>1-3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'Pivot table &amp; Charts'!$B$48:$B$52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8-4F64-AEFD-523555078D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479295"/>
        <c:axId val="1332496095"/>
      </c:barChart>
      <c:catAx>
        <c:axId val="133247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96095"/>
        <c:crosses val="autoZero"/>
        <c:auto val="1"/>
        <c:lblAlgn val="ctr"/>
        <c:lblOffset val="100"/>
        <c:noMultiLvlLbl val="0"/>
      </c:catAx>
      <c:valAx>
        <c:axId val="133249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7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[congnify Project in excel.xlsx]Pivot table &amp; Charts!PivotTable9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817147856517934E-2"/>
              <c:y val="0.1299106882473023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06742B92-0A0D-4C5F-914F-5C480F1A22D3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AFA74350-97DB-4FC6-9530-87E4835CC1EB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04483814523185"/>
              <c:y val="1.980752405949256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AEF1E234-D0EA-4AE4-B25C-3F6ABFA44F76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93503937007873"/>
              <c:y val="-5.660396617089538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
</a:t>
                </a:r>
                <a:fld id="{ECF3953D-9984-4E59-9629-587D035DA726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574162679425839"/>
          <c:y val="9.3240093240093247E-2"/>
          <c:w val="0.56725146198830412"/>
          <c:h val="0.82905982905982911"/>
        </c:manualLayout>
      </c:layout>
      <c:pieChart>
        <c:varyColors val="1"/>
        <c:ser>
          <c:idx val="0"/>
          <c:order val="0"/>
          <c:tx>
            <c:strRef>
              <c:f>'Pivot table &amp; Charts'!$B$47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F45-4D21-8E8A-FB69B606F6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45-4D21-8E8A-FB69B606F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45-4D21-8E8A-FB69B606F6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45-4D21-8E8A-FB69B606F62A}"/>
              </c:ext>
            </c:extLst>
          </c:dPt>
          <c:dLbls>
            <c:dLbl>
              <c:idx val="0"/>
              <c:layout>
                <c:manualLayout>
                  <c:x val="-0.13404483814523185"/>
                  <c:y val="1.9807524059492564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AEF1E234-D0EA-4AE4-B25C-3F6ABFA44F7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F45-4D21-8E8A-FB69B606F62A}"/>
                </c:ext>
              </c:extLst>
            </c:dLbl>
            <c:dLbl>
              <c:idx val="1"/>
              <c:layout>
                <c:manualLayout>
                  <c:x val="0.13893503937007873"/>
                  <c:y val="-5.6603966170895387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ECF3953D-9984-4E59-9629-587D035DA72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F45-4D21-8E8A-FB69B606F6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AFA74350-97DB-4FC6-9530-87E4835CC1E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F45-4D21-8E8A-FB69B606F62A}"/>
                </c:ext>
              </c:extLst>
            </c:dLbl>
            <c:dLbl>
              <c:idx val="3"/>
              <c:layout>
                <c:manualLayout>
                  <c:x val="1.6817147856517934E-2"/>
                  <c:y val="0.12991068824730237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06742B92-0A0D-4C5F-914F-5C480F1A22D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F45-4D21-8E8A-FB69B606F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Charts'!$A$48:$A$52</c:f>
              <c:strCache>
                <c:ptCount val="4"/>
                <c:pt idx="0">
                  <c:v>3-5 years</c:v>
                </c:pt>
                <c:pt idx="1">
                  <c:v>1-3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'Pivot table &amp; Charts'!$B$48:$B$52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5-4D21-8E8A-FB69B606F6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114300</xdr:rowOff>
    </xdr:from>
    <xdr:to>
      <xdr:col>6</xdr:col>
      <xdr:colOff>449580</xdr:colOff>
      <xdr:row>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12640-301F-9C3F-44C7-A4D2AA4C7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</xdr:colOff>
      <xdr:row>11</xdr:row>
      <xdr:rowOff>38100</xdr:rowOff>
    </xdr:from>
    <xdr:to>
      <xdr:col>6</xdr:col>
      <xdr:colOff>441960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C9CA2-600E-F7A0-D15E-EFD996A11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83820</xdr:colOff>
      <xdr:row>0</xdr:row>
      <xdr:rowOff>144780</xdr:rowOff>
    </xdr:from>
    <xdr:to>
      <xdr:col>12</xdr:col>
      <xdr:colOff>594360</xdr:colOff>
      <xdr:row>10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DC1634-3D66-E845-A86F-E8B03F158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137160</xdr:colOff>
      <xdr:row>34</xdr:row>
      <xdr:rowOff>91440</xdr:rowOff>
    </xdr:from>
    <xdr:to>
      <xdr:col>13</xdr:col>
      <xdr:colOff>76200</xdr:colOff>
      <xdr:row>44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EB1A8A-3A96-492F-A72B-F8CFE621B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45720</xdr:colOff>
      <xdr:row>23</xdr:row>
      <xdr:rowOff>99060</xdr:rowOff>
    </xdr:from>
    <xdr:to>
      <xdr:col>6</xdr:col>
      <xdr:colOff>464820</xdr:colOff>
      <xdr:row>32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0C0F4E-79C7-F427-B850-1E2363D6B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99060</xdr:colOff>
      <xdr:row>23</xdr:row>
      <xdr:rowOff>114300</xdr:rowOff>
    </xdr:from>
    <xdr:to>
      <xdr:col>13</xdr:col>
      <xdr:colOff>53340</xdr:colOff>
      <xdr:row>32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EAC04F-035C-EAB0-9C70-A3D9BBBCF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80010</xdr:colOff>
      <xdr:row>12</xdr:row>
      <xdr:rowOff>0</xdr:rowOff>
    </xdr:from>
    <xdr:to>
      <xdr:col>13</xdr:col>
      <xdr:colOff>15240</xdr:colOff>
      <xdr:row>22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AE3CAA-7033-88BE-9B51-5D36A6172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205740</xdr:colOff>
      <xdr:row>34</xdr:row>
      <xdr:rowOff>144780</xdr:rowOff>
    </xdr:from>
    <xdr:to>
      <xdr:col>6</xdr:col>
      <xdr:colOff>518160</xdr:colOff>
      <xdr:row>44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293F59-32A0-D351-E1CC-EC665B2D1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217170</xdr:colOff>
      <xdr:row>45</xdr:row>
      <xdr:rowOff>95250</xdr:rowOff>
    </xdr:from>
    <xdr:to>
      <xdr:col>6</xdr:col>
      <xdr:colOff>510540</xdr:colOff>
      <xdr:row>55</xdr:row>
      <xdr:rowOff>83820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932932-C640-5BCF-74F7-6B9BD8977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144780</xdr:colOff>
      <xdr:row>45</xdr:row>
      <xdr:rowOff>83820</xdr:rowOff>
    </xdr:from>
    <xdr:to>
      <xdr:col>13</xdr:col>
      <xdr:colOff>137160</xdr:colOff>
      <xdr:row>56</xdr:row>
      <xdr:rowOff>60960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8F3532D-C3AC-9736-7A44-70D267C3B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0.70618</cdr:x>
      <cdr:y>0.4837</cdr:y>
    </cdr:from>
    <cdr:to>
      <cdr:x>0.90308</cdr:x>
      <cdr:y>0.58595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A1C1B7E-5A44-2CCD-9791-11452690D2E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15216" y="1074420"/>
          <a:ext cx="729160" cy="22711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0.5647</cdr:x>
      <cdr:y>0.18875</cdr:y>
    </cdr:from>
    <cdr:to>
      <cdr:x>0.71463</cdr:x>
      <cdr:y>0.27795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9CF137EA-A4D6-591D-F71A-F97ADE1A5AE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712586" y="361734"/>
          <a:ext cx="454717" cy="17093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0.04565</cdr:x>
      <cdr:y>0.63465</cdr:y>
    </cdr:from>
    <cdr:to>
      <cdr:x>0.29903</cdr:x>
      <cdr:y>0.7369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D8A9C908-1AF5-F96C-6141-E6A0CDD50A6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169044" y="1409700"/>
          <a:ext cx="938348" cy="22711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0.21724</cdr:x>
      <cdr:y>0.05169</cdr:y>
    </cdr:from>
    <cdr:to>
      <cdr:x>0.44704</cdr:x>
      <cdr:y>0.14237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FD7B1A9-B17A-9214-E7A9-0D20BD32C0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22020" y="102803"/>
          <a:ext cx="975359" cy="1803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0.4718</cdr:x>
      <cdr:y>0.0352</cdr:y>
    </cdr:from>
    <cdr:to>
      <cdr:x>0.72172</cdr:x>
      <cdr:y>0.12643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1BF94AF0-4F00-C960-895C-60C479AC0F1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2002461" y="70009"/>
          <a:ext cx="1060779" cy="18144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0.7572</cdr:x>
      <cdr:y>0.56711</cdr:y>
    </cdr:from>
    <cdr:to>
      <cdr:x>0.90417</cdr:x>
      <cdr:y>0.65972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EBBE2317-5F22-1C88-DA15-68F988B11E0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3461922" y="1555688"/>
          <a:ext cx="671928" cy="25406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0.07917</cdr:x>
      <cdr:y>0.58306</cdr:y>
    </cdr:from>
    <cdr:to>
      <cdr:x>0.23302</cdr:x>
      <cdr:y>0.68001</cdr:y>
    </cdr:to>
    <cdr:pic>
      <cdr:nvPicPr>
        <cdr:cNvPr id="5" name="chart">
          <a:extLst xmlns:a="http://schemas.openxmlformats.org/drawingml/2006/main">
            <a:ext uri="{FF2B5EF4-FFF2-40B4-BE49-F238E27FC236}">
              <a16:creationId xmlns:a16="http://schemas.microsoft.com/office/drawing/2014/main" id="{6108FF36-306D-B3AF-F079-F122882580A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cdr:blipFill>
      <cdr:spPr>
        <a:xfrm xmlns:a="http://schemas.openxmlformats.org/drawingml/2006/main">
          <a:off x="361950" y="1599442"/>
          <a:ext cx="703432" cy="265974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7.95898333333" createdVersion="8" refreshedVersion="8" minRefreshableVersion="3" recordCount="40" xr:uid="{83BE8267-7279-4746-945C-C5D2534927B4}">
  <cacheSource type="worksheet">
    <worksheetSource ref="A1:X41" sheet="Data_set 2 - Copy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/>
    </cacheField>
    <cacheField name="Avenue" numFmtId="0">
      <sharedItems count="4">
        <s v="Mutual Fund"/>
        <s v="Equity"/>
        <s v="Fixed Deposits"/>
        <s v="Public Provident Fund"/>
      </sharedItems>
    </cacheField>
    <cacheField name="Savings Objective" numFmtId="0">
      <sharedItems count="3">
        <s v="Retirement Plan"/>
        <s v="Health Care"/>
        <s v="Education"/>
      </sharedItems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/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Yes"/>
    <x v="0"/>
    <n v="2"/>
    <n v="5"/>
    <n v="3"/>
    <n v="7"/>
    <n v="6"/>
    <n v="4"/>
    <s v="Yes"/>
    <s v="Returns"/>
    <s v="Capital Appreciation"/>
    <s v="Wealth Creation"/>
    <x v="0"/>
    <s v="Monthly"/>
    <s v="20%-30%"/>
    <x v="0"/>
    <x v="0"/>
    <x v="0"/>
    <x v="0"/>
    <s v="Safe Investment"/>
    <x v="0"/>
    <x v="0"/>
  </r>
  <r>
    <x v="0"/>
    <x v="1"/>
    <s v="Yes"/>
    <x v="1"/>
    <n v="3"/>
    <n v="2"/>
    <n v="1"/>
    <n v="5"/>
    <n v="6"/>
    <n v="7"/>
    <s v="No"/>
    <s v="Locking Period"/>
    <s v="Capital Appreciation"/>
    <s v="Wealth Creation"/>
    <x v="1"/>
    <s v="Weekly"/>
    <s v="20%-30%"/>
    <x v="0"/>
    <x v="1"/>
    <x v="1"/>
    <x v="0"/>
    <s v="Safe Investment"/>
    <x v="1"/>
    <x v="1"/>
  </r>
  <r>
    <x v="1"/>
    <x v="2"/>
    <s v="Yes"/>
    <x v="2"/>
    <n v="6"/>
    <n v="4"/>
    <n v="2"/>
    <n v="5"/>
    <n v="1"/>
    <n v="7"/>
    <s v="Yes"/>
    <s v="Returns"/>
    <s v="Capital Appreciation"/>
    <s v="Wealth Creation"/>
    <x v="2"/>
    <s v="Daily"/>
    <s v="20%-30%"/>
    <x v="1"/>
    <x v="0"/>
    <x v="0"/>
    <x v="1"/>
    <s v="Assured Returns"/>
    <x v="0"/>
    <x v="2"/>
  </r>
  <r>
    <x v="1"/>
    <x v="3"/>
    <s v="Yes"/>
    <x v="3"/>
    <n v="1"/>
    <n v="3"/>
    <n v="7"/>
    <n v="6"/>
    <n v="4"/>
    <n v="5"/>
    <s v="Yes"/>
    <s v="Returns"/>
    <s v="Income"/>
    <s v="Wealth Creation"/>
    <x v="3"/>
    <s v="Daily"/>
    <s v="10%-20%"/>
    <x v="1"/>
    <x v="0"/>
    <x v="1"/>
    <x v="2"/>
    <s v="Tax Incentives"/>
    <x v="1"/>
    <x v="3"/>
  </r>
  <r>
    <x v="0"/>
    <x v="4"/>
    <s v="No"/>
    <x v="3"/>
    <n v="1"/>
    <n v="3"/>
    <n v="6"/>
    <n v="4"/>
    <n v="5"/>
    <n v="7"/>
    <s v="No"/>
    <s v="Returns"/>
    <s v="Income"/>
    <s v="Wealth Creation"/>
    <x v="3"/>
    <s v="Daily"/>
    <s v="20%-30%"/>
    <x v="1"/>
    <x v="0"/>
    <x v="0"/>
    <x v="0"/>
    <s v="Safe Investment"/>
    <x v="2"/>
    <x v="3"/>
  </r>
  <r>
    <x v="0"/>
    <x v="4"/>
    <s v="No"/>
    <x v="4"/>
    <n v="5"/>
    <n v="4"/>
    <n v="6"/>
    <n v="3"/>
    <n v="1"/>
    <n v="2"/>
    <s v="No"/>
    <s v="Risk"/>
    <s v="Capital Appreciation"/>
    <s v="Wealth Creation"/>
    <x v="0"/>
    <s v="Daily"/>
    <s v="30%-40%"/>
    <x v="0"/>
    <x v="0"/>
    <x v="2"/>
    <x v="2"/>
    <s v="Safe Investment"/>
    <x v="2"/>
    <x v="3"/>
  </r>
  <r>
    <x v="0"/>
    <x v="5"/>
    <s v="Yes"/>
    <x v="2"/>
    <n v="6"/>
    <n v="4"/>
    <n v="2"/>
    <n v="5"/>
    <n v="1"/>
    <n v="7"/>
    <s v="Yes"/>
    <s v="Returns"/>
    <s v="Capital Appreciation"/>
    <s v="Wealth Creation"/>
    <x v="2"/>
    <s v="Monthly"/>
    <s v="20%-30%"/>
    <x v="1"/>
    <x v="0"/>
    <x v="0"/>
    <x v="0"/>
    <s v="Assured Returns"/>
    <x v="1"/>
    <x v="1"/>
  </r>
  <r>
    <x v="1"/>
    <x v="6"/>
    <s v="Yes"/>
    <x v="3"/>
    <n v="3"/>
    <n v="7"/>
    <n v="4"/>
    <n v="6"/>
    <n v="1"/>
    <n v="5"/>
    <s v="Yes"/>
    <s v="Risk"/>
    <s v="Capital Appreciation"/>
    <s v="Wealth Creation"/>
    <x v="2"/>
    <s v="Monthly"/>
    <s v="20%-30%"/>
    <x v="0"/>
    <x v="0"/>
    <x v="0"/>
    <x v="0"/>
    <s v="Assured Returns"/>
    <x v="2"/>
    <x v="0"/>
  </r>
  <r>
    <x v="1"/>
    <x v="7"/>
    <s v="Yes"/>
    <x v="3"/>
    <n v="4"/>
    <n v="7"/>
    <n v="5"/>
    <n v="3"/>
    <n v="1"/>
    <n v="6"/>
    <s v="Yes"/>
    <s v="Returns"/>
    <s v="Growth"/>
    <s v="Savings for Future"/>
    <x v="0"/>
    <s v="Weekly"/>
    <s v="20%-30%"/>
    <x v="1"/>
    <x v="0"/>
    <x v="0"/>
    <x v="2"/>
    <s v="Safe Investment"/>
    <x v="0"/>
    <x v="2"/>
  </r>
  <r>
    <x v="1"/>
    <x v="8"/>
    <s v="Yes"/>
    <x v="0"/>
    <n v="3"/>
    <n v="7"/>
    <n v="4"/>
    <n v="5"/>
    <n v="2"/>
    <n v="6"/>
    <s v="Yes"/>
    <s v="Returns"/>
    <s v="Capital Appreciation"/>
    <s v="Wealth Creation"/>
    <x v="2"/>
    <s v="Monthly"/>
    <s v="30%-40%"/>
    <x v="2"/>
    <x v="0"/>
    <x v="0"/>
    <x v="2"/>
    <s v="Assured Returns"/>
    <x v="0"/>
    <x v="0"/>
  </r>
  <r>
    <x v="0"/>
    <x v="7"/>
    <s v="Yes"/>
    <x v="3"/>
    <n v="4"/>
    <n v="7"/>
    <n v="5"/>
    <n v="3"/>
    <n v="1"/>
    <n v="6"/>
    <s v="Yes"/>
    <s v="Risk"/>
    <s v="Growth"/>
    <s v="Savings for Future"/>
    <x v="2"/>
    <s v="Monthly"/>
    <s v="20%-30%"/>
    <x v="0"/>
    <x v="0"/>
    <x v="0"/>
    <x v="0"/>
    <s v="Assured Returns"/>
    <x v="2"/>
    <x v="1"/>
  </r>
  <r>
    <x v="1"/>
    <x v="9"/>
    <s v="Yes"/>
    <x v="3"/>
    <n v="5"/>
    <n v="7"/>
    <n v="6"/>
    <n v="3"/>
    <n v="1"/>
    <n v="4"/>
    <s v="Yes"/>
    <s v="Risk"/>
    <s v="Capital Appreciation"/>
    <s v="Wealth Creation"/>
    <x v="0"/>
    <s v="Monthly"/>
    <s v="20%-30%"/>
    <x v="0"/>
    <x v="0"/>
    <x v="0"/>
    <x v="2"/>
    <s v="Assured Returns"/>
    <x v="0"/>
    <x v="1"/>
  </r>
  <r>
    <x v="0"/>
    <x v="6"/>
    <s v="No"/>
    <x v="0"/>
    <n v="2"/>
    <n v="3"/>
    <n v="4"/>
    <n v="5"/>
    <n v="6"/>
    <n v="7"/>
    <s v="No"/>
    <s v="Returns"/>
    <s v="Capital Appreciation"/>
    <s v="Savings for Future"/>
    <x v="0"/>
    <s v="Weekly"/>
    <s v="20%-30%"/>
    <x v="0"/>
    <x v="2"/>
    <x v="1"/>
    <x v="0"/>
    <s v="Safe Investment"/>
    <x v="2"/>
    <x v="3"/>
  </r>
  <r>
    <x v="0"/>
    <x v="10"/>
    <s v="Yes"/>
    <x v="3"/>
    <n v="3"/>
    <n v="7"/>
    <n v="4"/>
    <n v="5"/>
    <n v="1"/>
    <n v="6"/>
    <s v="Yes"/>
    <s v="Returns"/>
    <s v="Capital Appreciation"/>
    <s v="Wealth Creation"/>
    <x v="0"/>
    <s v="Monthly"/>
    <s v="20%-30%"/>
    <x v="0"/>
    <x v="0"/>
    <x v="0"/>
    <x v="2"/>
    <s v="Assured Returns"/>
    <x v="2"/>
    <x v="0"/>
  </r>
  <r>
    <x v="0"/>
    <x v="11"/>
    <s v="Yes"/>
    <x v="3"/>
    <n v="3"/>
    <n v="7"/>
    <n v="5"/>
    <n v="4"/>
    <n v="1"/>
    <n v="6"/>
    <s v="Yes"/>
    <s v="Returns"/>
    <s v="Capital Appreciation"/>
    <s v="Wealth Creation"/>
    <x v="0"/>
    <s v="Monthly"/>
    <s v="20%-30%"/>
    <x v="2"/>
    <x v="1"/>
    <x v="1"/>
    <x v="0"/>
    <s v="Assured Returns"/>
    <x v="2"/>
    <x v="1"/>
  </r>
  <r>
    <x v="1"/>
    <x v="5"/>
    <s v="Yes"/>
    <x v="3"/>
    <n v="3"/>
    <n v="7"/>
    <n v="5"/>
    <n v="4"/>
    <n v="1"/>
    <n v="6"/>
    <s v="Yes"/>
    <s v="Returns"/>
    <s v="Capital Appreciation"/>
    <s v="Wealth Creation"/>
    <x v="0"/>
    <s v="Monthly"/>
    <s v="20%-30%"/>
    <x v="0"/>
    <x v="1"/>
    <x v="0"/>
    <x v="2"/>
    <s v="Assured Returns"/>
    <x v="2"/>
    <x v="0"/>
  </r>
  <r>
    <x v="0"/>
    <x v="10"/>
    <s v="Yes"/>
    <x v="2"/>
    <n v="2"/>
    <n v="7"/>
    <n v="5"/>
    <n v="4"/>
    <n v="1"/>
    <n v="6"/>
    <s v="Yes"/>
    <s v="Risk"/>
    <s v="Growth"/>
    <s v="Wealth Creation"/>
    <x v="0"/>
    <s v="Monthly"/>
    <s v="20%-30%"/>
    <x v="2"/>
    <x v="1"/>
    <x v="0"/>
    <x v="2"/>
    <s v="Assured Returns"/>
    <x v="2"/>
    <x v="2"/>
  </r>
  <r>
    <x v="1"/>
    <x v="5"/>
    <s v="Yes"/>
    <x v="2"/>
    <n v="2"/>
    <n v="7"/>
    <n v="4"/>
    <n v="5"/>
    <n v="1"/>
    <n v="6"/>
    <s v="Yes"/>
    <s v="Returns"/>
    <s v="Capital Appreciation"/>
    <s v="Wealth Creation"/>
    <x v="0"/>
    <s v="Monthly"/>
    <s v="20%-30%"/>
    <x v="0"/>
    <x v="0"/>
    <x v="0"/>
    <x v="0"/>
    <s v="Assured Returns"/>
    <x v="2"/>
    <x v="1"/>
  </r>
  <r>
    <x v="1"/>
    <x v="9"/>
    <s v="Yes"/>
    <x v="2"/>
    <n v="2"/>
    <n v="7"/>
    <n v="4"/>
    <n v="5"/>
    <n v="1"/>
    <n v="6"/>
    <s v="Yes"/>
    <s v="Risk"/>
    <s v="Capital Appreciation"/>
    <s v="Wealth Creation"/>
    <x v="0"/>
    <s v="Monthly"/>
    <s v="20%-30%"/>
    <x v="0"/>
    <x v="0"/>
    <x v="0"/>
    <x v="0"/>
    <s v="Assured Returns"/>
    <x v="2"/>
    <x v="0"/>
  </r>
  <r>
    <x v="1"/>
    <x v="12"/>
    <s v="Yes"/>
    <x v="2"/>
    <n v="4"/>
    <n v="6"/>
    <n v="5"/>
    <n v="1"/>
    <n v="2"/>
    <n v="7"/>
    <s v="Yes"/>
    <s v="Risk"/>
    <s v="Capital Appreciation"/>
    <s v="Wealth Creation"/>
    <x v="2"/>
    <s v="Monthly"/>
    <s v="20%-30%"/>
    <x v="2"/>
    <x v="1"/>
    <x v="0"/>
    <x v="2"/>
    <s v="Assured Returns"/>
    <x v="2"/>
    <x v="0"/>
  </r>
  <r>
    <x v="1"/>
    <x v="9"/>
    <s v="Yes"/>
    <x v="3"/>
    <n v="4"/>
    <n v="7"/>
    <n v="5"/>
    <n v="3"/>
    <n v="1"/>
    <n v="6"/>
    <s v="Yes"/>
    <s v="Returns"/>
    <s v="Growth"/>
    <s v="Wealth Creation"/>
    <x v="2"/>
    <s v="Weekly"/>
    <s v="20%-30%"/>
    <x v="0"/>
    <x v="0"/>
    <x v="0"/>
    <x v="0"/>
    <s v="Assured Returns"/>
    <x v="0"/>
    <x v="1"/>
  </r>
  <r>
    <x v="0"/>
    <x v="4"/>
    <s v="Yes"/>
    <x v="3"/>
    <n v="4"/>
    <n v="5"/>
    <n v="6"/>
    <n v="3"/>
    <n v="1"/>
    <n v="7"/>
    <s v="Yes"/>
    <s v="Risk"/>
    <s v="Capital Appreciation"/>
    <s v="Wealth Creation"/>
    <x v="2"/>
    <s v="Monthly"/>
    <s v="20%-30%"/>
    <x v="1"/>
    <x v="1"/>
    <x v="0"/>
    <x v="0"/>
    <s v="Assured Returns"/>
    <x v="2"/>
    <x v="0"/>
  </r>
  <r>
    <x v="1"/>
    <x v="5"/>
    <s v="Yes"/>
    <x v="2"/>
    <n v="4"/>
    <n v="6"/>
    <n v="5"/>
    <n v="2"/>
    <n v="1"/>
    <n v="7"/>
    <s v="Yes"/>
    <s v="Returns"/>
    <s v="Capital Appreciation"/>
    <s v="Wealth Creation"/>
    <x v="2"/>
    <s v="Monthly"/>
    <s v="20%-30%"/>
    <x v="0"/>
    <x v="0"/>
    <x v="0"/>
    <x v="0"/>
    <s v="Assured Returns"/>
    <x v="2"/>
    <x v="1"/>
  </r>
  <r>
    <x v="1"/>
    <x v="11"/>
    <s v="Yes"/>
    <x v="3"/>
    <n v="4"/>
    <n v="6"/>
    <n v="5"/>
    <n v="3"/>
    <n v="1"/>
    <n v="7"/>
    <s v="Yes"/>
    <s v="Risk"/>
    <s v="Growth"/>
    <s v="Savings for Future"/>
    <x v="2"/>
    <s v="Weekly"/>
    <s v="20%-30%"/>
    <x v="3"/>
    <x v="1"/>
    <x v="2"/>
    <x v="0"/>
    <s v="Assured Returns"/>
    <x v="2"/>
    <x v="1"/>
  </r>
  <r>
    <x v="0"/>
    <x v="12"/>
    <s v="Yes"/>
    <x v="3"/>
    <n v="3"/>
    <n v="7"/>
    <n v="5"/>
    <n v="4"/>
    <n v="1"/>
    <n v="6"/>
    <s v="Yes"/>
    <s v="Returns"/>
    <s v="Capital Appreciation"/>
    <s v="Wealth Creation"/>
    <x v="2"/>
    <s v="Monthly"/>
    <s v="30%-40%"/>
    <x v="3"/>
    <x v="0"/>
    <x v="0"/>
    <x v="0"/>
    <s v="Assured Returns"/>
    <x v="2"/>
    <x v="0"/>
  </r>
  <r>
    <x v="0"/>
    <x v="13"/>
    <s v="Yes"/>
    <x v="2"/>
    <n v="4"/>
    <n v="7"/>
    <n v="5"/>
    <n v="1"/>
    <n v="2"/>
    <n v="6"/>
    <s v="Yes"/>
    <s v="Risk"/>
    <s v="Growth"/>
    <s v="Wealth Creation"/>
    <x v="2"/>
    <s v="Monthly"/>
    <s v="20%-30%"/>
    <x v="0"/>
    <x v="0"/>
    <x v="0"/>
    <x v="0"/>
    <s v="Assured Returns"/>
    <x v="0"/>
    <x v="1"/>
  </r>
  <r>
    <x v="1"/>
    <x v="12"/>
    <s v="Yes"/>
    <x v="2"/>
    <n v="4"/>
    <n v="6"/>
    <n v="5"/>
    <n v="1"/>
    <n v="2"/>
    <n v="7"/>
    <s v="Yes"/>
    <s v="Returns"/>
    <s v="Capital Appreciation"/>
    <s v="Wealth Creation"/>
    <x v="2"/>
    <s v="Monthly"/>
    <s v="20%-30%"/>
    <x v="0"/>
    <x v="0"/>
    <x v="1"/>
    <x v="2"/>
    <s v="Assured Returns"/>
    <x v="0"/>
    <x v="1"/>
  </r>
  <r>
    <x v="1"/>
    <x v="8"/>
    <s v="Yes"/>
    <x v="3"/>
    <n v="3"/>
    <n v="7"/>
    <n v="6"/>
    <n v="4"/>
    <n v="1"/>
    <n v="5"/>
    <s v="Yes"/>
    <s v="Risk"/>
    <s v="Growth"/>
    <s v="Savings for Future"/>
    <x v="0"/>
    <s v="Monthly"/>
    <s v="20%-30%"/>
    <x v="2"/>
    <x v="1"/>
    <x v="0"/>
    <x v="2"/>
    <s v="Safe Investment"/>
    <x v="0"/>
    <x v="2"/>
  </r>
  <r>
    <x v="1"/>
    <x v="9"/>
    <s v="Yes"/>
    <x v="3"/>
    <n v="3"/>
    <n v="6"/>
    <n v="5"/>
    <n v="1"/>
    <n v="4"/>
    <n v="7"/>
    <s v="Yes"/>
    <s v="Returns"/>
    <s v="Capital Appreciation"/>
    <s v="Wealth Creation"/>
    <x v="0"/>
    <s v="Monthly"/>
    <s v="20%-30%"/>
    <x v="1"/>
    <x v="0"/>
    <x v="0"/>
    <x v="0"/>
    <s v="Assured Returns"/>
    <x v="2"/>
    <x v="2"/>
  </r>
  <r>
    <x v="0"/>
    <x v="0"/>
    <s v="Yes"/>
    <x v="5"/>
    <n v="4"/>
    <n v="3"/>
    <n v="2"/>
    <n v="7"/>
    <n v="1"/>
    <n v="6"/>
    <s v="Yes"/>
    <s v="Returns"/>
    <s v="Income"/>
    <s v="Returns"/>
    <x v="2"/>
    <s v="Monthly"/>
    <s v="10%-20%"/>
    <x v="0"/>
    <x v="0"/>
    <x v="0"/>
    <x v="1"/>
    <s v="Safe Investment"/>
    <x v="0"/>
    <x v="0"/>
  </r>
  <r>
    <x v="1"/>
    <x v="5"/>
    <s v="Yes"/>
    <x v="1"/>
    <n v="5"/>
    <n v="1"/>
    <n v="2"/>
    <n v="7"/>
    <n v="3"/>
    <n v="6"/>
    <s v="No"/>
    <s v="Returns"/>
    <s v="Growth"/>
    <s v="Wealth Creation"/>
    <x v="0"/>
    <s v="Monthly"/>
    <s v="10%-20%"/>
    <x v="0"/>
    <x v="2"/>
    <x v="0"/>
    <x v="1"/>
    <s v="Safe Investment"/>
    <x v="0"/>
    <x v="2"/>
  </r>
  <r>
    <x v="0"/>
    <x v="8"/>
    <s v="Yes"/>
    <x v="3"/>
    <n v="4"/>
    <n v="7"/>
    <n v="6"/>
    <n v="3"/>
    <n v="1"/>
    <n v="5"/>
    <s v="Yes"/>
    <s v="Returns"/>
    <s v="Capital Appreciation"/>
    <s v="Wealth Creation"/>
    <x v="2"/>
    <s v="Monthly"/>
    <s v="20%-30%"/>
    <x v="2"/>
    <x v="0"/>
    <x v="0"/>
    <x v="0"/>
    <s v="Assured Returns"/>
    <x v="0"/>
    <x v="1"/>
  </r>
  <r>
    <x v="1"/>
    <x v="5"/>
    <s v="Yes"/>
    <x v="3"/>
    <n v="4"/>
    <n v="7"/>
    <n v="5"/>
    <n v="1"/>
    <n v="3"/>
    <n v="6"/>
    <s v="Yes"/>
    <s v="Returns"/>
    <s v="Capital Appreciation"/>
    <s v="Wealth Creation"/>
    <x v="2"/>
    <s v="Monthly"/>
    <s v="30%-40%"/>
    <x v="1"/>
    <x v="1"/>
    <x v="0"/>
    <x v="2"/>
    <s v="Assured Returns"/>
    <x v="0"/>
    <x v="0"/>
  </r>
  <r>
    <x v="1"/>
    <x v="12"/>
    <s v="Yes"/>
    <x v="3"/>
    <n v="3"/>
    <n v="6"/>
    <n v="4"/>
    <n v="1"/>
    <n v="5"/>
    <n v="7"/>
    <s v="Yes"/>
    <s v="Returns"/>
    <s v="Capital Appreciation"/>
    <s v="Returns"/>
    <x v="0"/>
    <s v="Monthly"/>
    <s v="20%-30%"/>
    <x v="2"/>
    <x v="2"/>
    <x v="1"/>
    <x v="0"/>
    <s v="Safe Investment"/>
    <x v="2"/>
    <x v="0"/>
  </r>
  <r>
    <x v="1"/>
    <x v="5"/>
    <s v="Yes"/>
    <x v="3"/>
    <n v="3"/>
    <n v="6"/>
    <n v="5"/>
    <n v="4"/>
    <n v="1"/>
    <n v="7"/>
    <s v="Yes"/>
    <s v="Returns"/>
    <s v="Capital Appreciation"/>
    <s v="Wealth Creation"/>
    <x v="0"/>
    <s v="Weekly"/>
    <s v="20%-30%"/>
    <x v="0"/>
    <x v="1"/>
    <x v="0"/>
    <x v="0"/>
    <s v="Safe Investment"/>
    <x v="0"/>
    <x v="1"/>
  </r>
  <r>
    <x v="1"/>
    <x v="2"/>
    <s v="Yes"/>
    <x v="0"/>
    <n v="4"/>
    <n v="6"/>
    <n v="5"/>
    <n v="3"/>
    <n v="2"/>
    <n v="7"/>
    <s v="Yes"/>
    <s v="Risk"/>
    <s v="Growth"/>
    <s v="Wealth Creation"/>
    <x v="2"/>
    <s v="Monthly"/>
    <s v="20%-30%"/>
    <x v="2"/>
    <x v="1"/>
    <x v="0"/>
    <x v="0"/>
    <s v="Assured Returns"/>
    <x v="0"/>
    <x v="1"/>
  </r>
  <r>
    <x v="1"/>
    <x v="2"/>
    <s v="Yes"/>
    <x v="3"/>
    <n v="4"/>
    <n v="7"/>
    <n v="5"/>
    <n v="1"/>
    <n v="3"/>
    <n v="6"/>
    <s v="Yes"/>
    <s v="Returns"/>
    <s v="Capital Appreciation"/>
    <s v="Wealth Creation"/>
    <x v="0"/>
    <s v="Monthly"/>
    <s v="20%-30%"/>
    <x v="1"/>
    <x v="0"/>
    <x v="0"/>
    <x v="0"/>
    <s v="Assured Returns"/>
    <x v="2"/>
    <x v="0"/>
  </r>
  <r>
    <x v="1"/>
    <x v="11"/>
    <s v="Yes"/>
    <x v="5"/>
    <n v="4"/>
    <n v="7"/>
    <n v="6"/>
    <n v="1"/>
    <n v="2"/>
    <n v="3"/>
    <s v="Yes"/>
    <s v="Risk"/>
    <s v="Growth"/>
    <s v="Savings for Future"/>
    <x v="2"/>
    <s v="Monthly"/>
    <s v="30%-40%"/>
    <x v="3"/>
    <x v="1"/>
    <x v="0"/>
    <x v="0"/>
    <s v="Safe Investment"/>
    <x v="0"/>
    <x v="1"/>
  </r>
  <r>
    <x v="1"/>
    <x v="8"/>
    <s v="Yes"/>
    <x v="3"/>
    <n v="4"/>
    <n v="7"/>
    <n v="5"/>
    <n v="3"/>
    <n v="1"/>
    <n v="6"/>
    <s v="Yes"/>
    <s v="Risk"/>
    <s v="Growth"/>
    <s v="Wealth Creation"/>
    <x v="0"/>
    <s v="Weekly"/>
    <s v="20%-30%"/>
    <x v="1"/>
    <x v="1"/>
    <x v="1"/>
    <x v="2"/>
    <s v="Assured Returns"/>
    <x v="0"/>
    <x v="0"/>
  </r>
  <r>
    <x v="1"/>
    <x v="9"/>
    <s v="Yes"/>
    <x v="1"/>
    <n v="3"/>
    <n v="5"/>
    <n v="7"/>
    <n v="2"/>
    <n v="1"/>
    <n v="6"/>
    <s v="Yes"/>
    <s v="Returns"/>
    <s v="Capital Appreciation"/>
    <s v="Wealth Creation"/>
    <x v="2"/>
    <s v="Monthly"/>
    <s v="20%-30%"/>
    <x v="2"/>
    <x v="0"/>
    <x v="1"/>
    <x v="0"/>
    <s v="Safe Investment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FD362-0361-4EA1-A1FE-5547CD8007F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7:B52" firstHeaderRow="1" firstDataRow="1" firstDataCol="1"/>
  <pivotFields count="24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chartFormats count="6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F688A-9920-41BD-B8AD-B2163F38C10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5:B40" firstHeaderRow="1" firstDataRow="1" firstDataCol="1"/>
  <pivotFields count="24"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0"/>
        <item x="3"/>
        <item x="2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dataField="1" showAll="0" sortType="a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3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Source" fld="23" subtotal="count" baseField="0" baseItem="0"/>
  </dataFields>
  <chartFormats count="2"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516BE-D856-4D89-A6BD-B1D100A79D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6:B30" firstHeaderRow="1" firstDataRow="1" firstDataCol="1"/>
  <pivotFields count="24"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7">
        <item x="0"/>
        <item x="3"/>
        <item x="2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utual_Funds" fld="3" subtotal="count" baseField="2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4283F-9A91-4586-AFB1-DF128D1B3D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3:B18" firstHeaderRow="1" firstDataRow="1" firstDataCol="1"/>
  <pivotFields count="24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167AA-3803-4945-A751-EFFA6E0987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4">
    <pivotField axis="axisRow" dataField="1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Count of gender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289FB-2FEF-47CD-89EA-4DC2842BB3DB}" name="Table1" displayName="Table1" ref="A1:F9" totalsRowShown="0" headerRowDxfId="10" dataDxfId="8" headerRowBorderDxfId="9" tableBorderDxfId="7" totalsRowBorderDxfId="6">
  <autoFilter ref="A1:F9" xr:uid="{48E289FB-2FEF-47CD-89EA-4DC2842BB3DB}"/>
  <tableColumns count="6">
    <tableColumn id="1" xr3:uid="{ED259FEB-5B59-45A5-AB43-E82C4FF67583}" name="Column " dataDxfId="5"/>
    <tableColumn id="2" xr3:uid="{31637907-5CCD-48DC-B149-657993334964}" name="Mean " dataDxfId="4"/>
    <tableColumn id="3" xr3:uid="{863A9044-F09D-4AA0-8339-48961D477E5D}" name="Median" dataDxfId="3"/>
    <tableColumn id="4" xr3:uid="{11A4850C-6D2C-4563-8D9F-4AB30B8E5528}" name="Std dev" dataDxfId="2"/>
    <tableColumn id="5" xr3:uid="{8A1E6942-440F-4F07-B749-CFC81C68A99C}" name="Min " dataDxfId="1"/>
    <tableColumn id="6" xr3:uid="{FAE99030-1E8E-451D-AB39-9712DFD6340B}" name="Max 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755A-9572-448B-AE6E-4E21633D8743}">
  <dimension ref="A3:B52"/>
  <sheetViews>
    <sheetView tabSelected="1" workbookViewId="0">
      <selection activeCell="O31" sqref="O31"/>
    </sheetView>
  </sheetViews>
  <sheetFormatPr defaultRowHeight="14.4" x14ac:dyDescent="0.3"/>
  <cols>
    <col min="1" max="1" width="15.33203125" bestFit="1" customWidth="1"/>
    <col min="2" max="2" width="15.5546875" bestFit="1" customWidth="1"/>
    <col min="3" max="3" width="12.88671875" bestFit="1" customWidth="1"/>
    <col min="4" max="4" width="11.77734375" bestFit="1" customWidth="1"/>
    <col min="5" max="5" width="19.6640625" bestFit="1" customWidth="1"/>
    <col min="6" max="6" width="10.77734375" bestFit="1" customWidth="1"/>
  </cols>
  <sheetData>
    <row r="3" spans="1:2" x14ac:dyDescent="0.3">
      <c r="A3" s="4" t="s">
        <v>77</v>
      </c>
      <c r="B3" t="s">
        <v>79</v>
      </c>
    </row>
    <row r="4" spans="1:2" x14ac:dyDescent="0.3">
      <c r="A4" s="5" t="s">
        <v>45</v>
      </c>
      <c r="B4">
        <v>25</v>
      </c>
    </row>
    <row r="5" spans="1:2" x14ac:dyDescent="0.3">
      <c r="A5" s="5" t="s">
        <v>23</v>
      </c>
      <c r="B5">
        <v>15</v>
      </c>
    </row>
    <row r="6" spans="1:2" x14ac:dyDescent="0.3">
      <c r="A6" s="5" t="s">
        <v>78</v>
      </c>
      <c r="B6">
        <v>40</v>
      </c>
    </row>
    <row r="13" spans="1:2" x14ac:dyDescent="0.3">
      <c r="A13" s="4" t="s">
        <v>77</v>
      </c>
      <c r="B13" t="s">
        <v>80</v>
      </c>
    </row>
    <row r="14" spans="1:2" x14ac:dyDescent="0.3">
      <c r="A14" s="5" t="s">
        <v>31</v>
      </c>
      <c r="B14">
        <v>18</v>
      </c>
    </row>
    <row r="15" spans="1:2" x14ac:dyDescent="0.3">
      <c r="A15" s="5" t="s">
        <v>48</v>
      </c>
      <c r="B15">
        <v>10</v>
      </c>
    </row>
    <row r="16" spans="1:2" x14ac:dyDescent="0.3">
      <c r="A16" s="5" t="s">
        <v>64</v>
      </c>
      <c r="B16">
        <v>9</v>
      </c>
    </row>
    <row r="17" spans="1:2" x14ac:dyDescent="0.3">
      <c r="A17" s="5" t="s">
        <v>66</v>
      </c>
      <c r="B17">
        <v>3</v>
      </c>
    </row>
    <row r="18" spans="1:2" x14ac:dyDescent="0.3">
      <c r="A18" s="5" t="s">
        <v>78</v>
      </c>
      <c r="B18">
        <v>40</v>
      </c>
    </row>
    <row r="26" spans="1:2" x14ac:dyDescent="0.3">
      <c r="A26" s="4" t="s">
        <v>77</v>
      </c>
      <c r="B26" t="s">
        <v>81</v>
      </c>
    </row>
    <row r="27" spans="1:2" x14ac:dyDescent="0.3">
      <c r="A27" s="5" t="s">
        <v>33</v>
      </c>
      <c r="B27">
        <v>24</v>
      </c>
    </row>
    <row r="28" spans="1:2" x14ac:dyDescent="0.3">
      <c r="A28" s="5" t="s">
        <v>55</v>
      </c>
      <c r="B28">
        <v>13</v>
      </c>
    </row>
    <row r="29" spans="1:2" x14ac:dyDescent="0.3">
      <c r="A29" s="5" t="s">
        <v>49</v>
      </c>
      <c r="B29">
        <v>3</v>
      </c>
    </row>
    <row r="30" spans="1:2" x14ac:dyDescent="0.3">
      <c r="A30" s="5" t="s">
        <v>78</v>
      </c>
      <c r="B30">
        <v>40</v>
      </c>
    </row>
    <row r="35" spans="1:2" x14ac:dyDescent="0.3">
      <c r="A35" s="4" t="s">
        <v>77</v>
      </c>
      <c r="B35" t="s">
        <v>82</v>
      </c>
    </row>
    <row r="36" spans="1:2" x14ac:dyDescent="0.3">
      <c r="A36" s="5" t="s">
        <v>57</v>
      </c>
      <c r="B36">
        <v>4</v>
      </c>
    </row>
    <row r="37" spans="1:2" x14ac:dyDescent="0.3">
      <c r="A37" s="5" t="s">
        <v>51</v>
      </c>
      <c r="B37">
        <v>6</v>
      </c>
    </row>
    <row r="38" spans="1:2" x14ac:dyDescent="0.3">
      <c r="A38" s="5" t="s">
        <v>36</v>
      </c>
      <c r="B38">
        <v>14</v>
      </c>
    </row>
    <row r="39" spans="1:2" x14ac:dyDescent="0.3">
      <c r="A39" s="5" t="s">
        <v>44</v>
      </c>
      <c r="B39">
        <v>16</v>
      </c>
    </row>
    <row r="40" spans="1:2" x14ac:dyDescent="0.3">
      <c r="A40" s="5" t="s">
        <v>78</v>
      </c>
      <c r="B40">
        <v>40</v>
      </c>
    </row>
    <row r="47" spans="1:2" x14ac:dyDescent="0.3">
      <c r="A47" s="4" t="s">
        <v>77</v>
      </c>
      <c r="B47" t="s">
        <v>83</v>
      </c>
    </row>
    <row r="48" spans="1:2" x14ac:dyDescent="0.3">
      <c r="A48" s="5" t="s">
        <v>46</v>
      </c>
      <c r="B48">
        <v>19</v>
      </c>
    </row>
    <row r="49" spans="1:2" x14ac:dyDescent="0.3">
      <c r="A49" s="5" t="s">
        <v>28</v>
      </c>
      <c r="B49">
        <v>18</v>
      </c>
    </row>
    <row r="50" spans="1:2" x14ac:dyDescent="0.3">
      <c r="A50" s="5" t="s">
        <v>53</v>
      </c>
      <c r="B50">
        <v>2</v>
      </c>
    </row>
    <row r="51" spans="1:2" x14ac:dyDescent="0.3">
      <c r="A51" s="5" t="s">
        <v>39</v>
      </c>
      <c r="B51">
        <v>1</v>
      </c>
    </row>
    <row r="52" spans="1:2" x14ac:dyDescent="0.3">
      <c r="A52" s="5" t="s">
        <v>78</v>
      </c>
      <c r="B52">
        <v>40</v>
      </c>
    </row>
  </sheetData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6314-5B0A-4BBB-A046-D84F1B582367}">
  <dimension ref="A1:X42"/>
  <sheetViews>
    <sheetView topLeftCell="N1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11.33203125" bestFit="1" customWidth="1"/>
    <col min="2" max="2" width="8.44140625" bestFit="1" customWidth="1"/>
    <col min="3" max="3" width="23.44140625" bestFit="1" customWidth="1"/>
    <col min="4" max="4" width="17.6640625" bestFit="1" customWidth="1"/>
    <col min="5" max="5" width="18" bestFit="1" customWidth="1"/>
    <col min="6" max="6" width="15.109375" bestFit="1" customWidth="1"/>
    <col min="7" max="7" width="22.44140625" bestFit="1" customWidth="1"/>
    <col min="8" max="8" width="18" bestFit="1" customWidth="1"/>
    <col min="9" max="9" width="8.5546875" bestFit="1" customWidth="1"/>
    <col min="10" max="10" width="9.33203125" bestFit="1" customWidth="1"/>
    <col min="11" max="11" width="18" bestFit="1" customWidth="1"/>
    <col min="12" max="12" width="12.77734375" bestFit="1" customWidth="1"/>
    <col min="13" max="13" width="17.6640625" bestFit="1" customWidth="1"/>
    <col min="14" max="14" width="15.5546875" bestFit="1" customWidth="1"/>
    <col min="15" max="15" width="15.88671875" bestFit="1" customWidth="1"/>
    <col min="16" max="16" width="18.5546875" bestFit="1" customWidth="1"/>
    <col min="17" max="17" width="11" bestFit="1" customWidth="1"/>
    <col min="18" max="18" width="18.5546875" bestFit="1" customWidth="1"/>
    <col min="19" max="19" width="28.5546875" bestFit="1" customWidth="1"/>
    <col min="20" max="20" width="18" bestFit="1" customWidth="1"/>
    <col min="21" max="21" width="18.77734375" bestFit="1" customWidth="1"/>
    <col min="22" max="22" width="17.88671875" bestFit="1" customWidth="1"/>
    <col min="23" max="23" width="16.44140625" bestFit="1" customWidth="1"/>
    <col min="24" max="24" width="23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2" t="s">
        <v>23</v>
      </c>
      <c r="B2" s="2">
        <v>34</v>
      </c>
      <c r="C2" s="2" t="s">
        <v>24</v>
      </c>
      <c r="D2" s="2">
        <v>1</v>
      </c>
      <c r="E2" s="2">
        <v>2</v>
      </c>
      <c r="F2" s="2">
        <v>5</v>
      </c>
      <c r="G2" s="2">
        <v>3</v>
      </c>
      <c r="H2" s="2">
        <v>7</v>
      </c>
      <c r="I2" s="2">
        <v>6</v>
      </c>
      <c r="J2" s="2">
        <v>4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26</v>
      </c>
      <c r="U2" s="2" t="s">
        <v>33</v>
      </c>
      <c r="V2" s="2" t="s">
        <v>34</v>
      </c>
      <c r="W2" s="2" t="s">
        <v>35</v>
      </c>
      <c r="X2" s="2" t="s">
        <v>36</v>
      </c>
    </row>
    <row r="3" spans="1:24" x14ac:dyDescent="0.3">
      <c r="A3" s="2" t="s">
        <v>23</v>
      </c>
      <c r="B3" s="2">
        <v>23</v>
      </c>
      <c r="C3" s="2" t="s">
        <v>24</v>
      </c>
      <c r="D3" s="2">
        <v>4</v>
      </c>
      <c r="E3" s="2">
        <v>3</v>
      </c>
      <c r="F3" s="2">
        <v>2</v>
      </c>
      <c r="G3" s="2">
        <v>1</v>
      </c>
      <c r="H3" s="2">
        <v>5</v>
      </c>
      <c r="I3" s="2">
        <v>6</v>
      </c>
      <c r="J3" s="2">
        <v>7</v>
      </c>
      <c r="K3" s="2" t="s">
        <v>37</v>
      </c>
      <c r="L3" s="2" t="s">
        <v>38</v>
      </c>
      <c r="M3" s="2" t="s">
        <v>26</v>
      </c>
      <c r="N3" s="2" t="s">
        <v>27</v>
      </c>
      <c r="O3" s="2" t="s">
        <v>39</v>
      </c>
      <c r="P3" s="2" t="s">
        <v>40</v>
      </c>
      <c r="Q3" s="2" t="s">
        <v>30</v>
      </c>
      <c r="R3" s="2" t="s">
        <v>31</v>
      </c>
      <c r="S3" s="2" t="s">
        <v>41</v>
      </c>
      <c r="T3" s="2" t="s">
        <v>42</v>
      </c>
      <c r="U3" s="2" t="s">
        <v>33</v>
      </c>
      <c r="V3" s="2" t="s">
        <v>34</v>
      </c>
      <c r="W3" s="2" t="s">
        <v>43</v>
      </c>
      <c r="X3" s="2" t="s">
        <v>44</v>
      </c>
    </row>
    <row r="4" spans="1:24" x14ac:dyDescent="0.3">
      <c r="A4" s="2" t="s">
        <v>45</v>
      </c>
      <c r="B4" s="2">
        <v>30</v>
      </c>
      <c r="C4" s="2" t="s">
        <v>24</v>
      </c>
      <c r="D4" s="2">
        <v>3</v>
      </c>
      <c r="E4" s="2">
        <v>6</v>
      </c>
      <c r="F4" s="2">
        <v>4</v>
      </c>
      <c r="G4" s="2">
        <v>2</v>
      </c>
      <c r="H4" s="2">
        <v>5</v>
      </c>
      <c r="I4" s="2">
        <v>1</v>
      </c>
      <c r="J4" s="2">
        <v>7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46</v>
      </c>
      <c r="P4" s="2" t="s">
        <v>47</v>
      </c>
      <c r="Q4" s="2" t="s">
        <v>30</v>
      </c>
      <c r="R4" s="2" t="s">
        <v>48</v>
      </c>
      <c r="S4" s="2" t="s">
        <v>32</v>
      </c>
      <c r="T4" s="2" t="s">
        <v>26</v>
      </c>
      <c r="U4" s="2" t="s">
        <v>49</v>
      </c>
      <c r="V4" s="2" t="s">
        <v>50</v>
      </c>
      <c r="W4" s="2" t="s">
        <v>35</v>
      </c>
      <c r="X4" s="2" t="s">
        <v>51</v>
      </c>
    </row>
    <row r="5" spans="1:24" x14ac:dyDescent="0.3">
      <c r="A5" s="2" t="s">
        <v>45</v>
      </c>
      <c r="B5" s="2">
        <v>22</v>
      </c>
      <c r="C5" s="2" t="s">
        <v>24</v>
      </c>
      <c r="D5" s="2">
        <v>2</v>
      </c>
      <c r="E5" s="2">
        <v>1</v>
      </c>
      <c r="F5" s="2">
        <v>3</v>
      </c>
      <c r="G5" s="2">
        <v>7</v>
      </c>
      <c r="H5" s="2">
        <v>6</v>
      </c>
      <c r="I5" s="2">
        <v>4</v>
      </c>
      <c r="J5" s="2">
        <v>5</v>
      </c>
      <c r="K5" s="2" t="s">
        <v>24</v>
      </c>
      <c r="L5" s="2" t="s">
        <v>25</v>
      </c>
      <c r="M5" s="2" t="s">
        <v>52</v>
      </c>
      <c r="N5" s="2" t="s">
        <v>27</v>
      </c>
      <c r="O5" s="2" t="s">
        <v>53</v>
      </c>
      <c r="P5" s="2" t="s">
        <v>47</v>
      </c>
      <c r="Q5" s="2" t="s">
        <v>54</v>
      </c>
      <c r="R5" s="2" t="s">
        <v>48</v>
      </c>
      <c r="S5" s="2" t="s">
        <v>32</v>
      </c>
      <c r="T5" s="2" t="s">
        <v>42</v>
      </c>
      <c r="U5" s="2" t="s">
        <v>55</v>
      </c>
      <c r="V5" s="2" t="s">
        <v>56</v>
      </c>
      <c r="W5" s="2" t="s">
        <v>43</v>
      </c>
      <c r="X5" s="2" t="s">
        <v>57</v>
      </c>
    </row>
    <row r="6" spans="1:24" x14ac:dyDescent="0.3">
      <c r="A6" s="2" t="s">
        <v>23</v>
      </c>
      <c r="B6" s="2">
        <v>24</v>
      </c>
      <c r="C6" s="2" t="s">
        <v>37</v>
      </c>
      <c r="D6" s="2">
        <v>2</v>
      </c>
      <c r="E6" s="2">
        <v>1</v>
      </c>
      <c r="F6" s="2">
        <v>3</v>
      </c>
      <c r="G6" s="2">
        <v>6</v>
      </c>
      <c r="H6" s="2">
        <v>4</v>
      </c>
      <c r="I6" s="2">
        <v>5</v>
      </c>
      <c r="J6" s="2">
        <v>7</v>
      </c>
      <c r="K6" s="2" t="s">
        <v>37</v>
      </c>
      <c r="L6" s="2" t="s">
        <v>25</v>
      </c>
      <c r="M6" s="2" t="s">
        <v>52</v>
      </c>
      <c r="N6" s="2" t="s">
        <v>27</v>
      </c>
      <c r="O6" s="2" t="s">
        <v>53</v>
      </c>
      <c r="P6" s="2" t="s">
        <v>47</v>
      </c>
      <c r="Q6" s="2" t="s">
        <v>30</v>
      </c>
      <c r="R6" s="2" t="s">
        <v>48</v>
      </c>
      <c r="S6" s="2" t="s">
        <v>32</v>
      </c>
      <c r="T6" s="2" t="s">
        <v>26</v>
      </c>
      <c r="U6" s="2" t="s">
        <v>33</v>
      </c>
      <c r="V6" s="2" t="s">
        <v>34</v>
      </c>
      <c r="W6" s="2" t="s">
        <v>58</v>
      </c>
      <c r="X6" s="2" t="s">
        <v>57</v>
      </c>
    </row>
    <row r="7" spans="1:24" x14ac:dyDescent="0.3">
      <c r="A7" s="2" t="s">
        <v>23</v>
      </c>
      <c r="B7" s="2">
        <v>24</v>
      </c>
      <c r="C7" s="2" t="s">
        <v>37</v>
      </c>
      <c r="D7" s="2">
        <v>7</v>
      </c>
      <c r="E7" s="2">
        <v>5</v>
      </c>
      <c r="F7" s="2">
        <v>4</v>
      </c>
      <c r="G7" s="2">
        <v>6</v>
      </c>
      <c r="H7" s="2">
        <v>3</v>
      </c>
      <c r="I7" s="2">
        <v>1</v>
      </c>
      <c r="J7" s="2">
        <v>2</v>
      </c>
      <c r="K7" s="2" t="s">
        <v>37</v>
      </c>
      <c r="L7" s="2" t="s">
        <v>59</v>
      </c>
      <c r="M7" s="2" t="s">
        <v>26</v>
      </c>
      <c r="N7" s="2" t="s">
        <v>27</v>
      </c>
      <c r="O7" s="2" t="s">
        <v>28</v>
      </c>
      <c r="P7" s="2" t="s">
        <v>47</v>
      </c>
      <c r="Q7" s="2" t="s">
        <v>60</v>
      </c>
      <c r="R7" s="2" t="s">
        <v>31</v>
      </c>
      <c r="S7" s="2" t="s">
        <v>32</v>
      </c>
      <c r="T7" s="2" t="s">
        <v>61</v>
      </c>
      <c r="U7" s="2" t="s">
        <v>55</v>
      </c>
      <c r="V7" s="2" t="s">
        <v>34</v>
      </c>
      <c r="W7" s="2" t="s">
        <v>58</v>
      </c>
      <c r="X7" s="2" t="s">
        <v>57</v>
      </c>
    </row>
    <row r="8" spans="1:24" x14ac:dyDescent="0.3">
      <c r="A8" s="2" t="s">
        <v>23</v>
      </c>
      <c r="B8" s="2">
        <v>27</v>
      </c>
      <c r="C8" s="2" t="s">
        <v>24</v>
      </c>
      <c r="D8" s="2">
        <v>3</v>
      </c>
      <c r="E8" s="2">
        <v>6</v>
      </c>
      <c r="F8" s="2">
        <v>4</v>
      </c>
      <c r="G8" s="2">
        <v>2</v>
      </c>
      <c r="H8" s="2">
        <v>5</v>
      </c>
      <c r="I8" s="2">
        <v>1</v>
      </c>
      <c r="J8" s="2">
        <v>7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46</v>
      </c>
      <c r="P8" s="2" t="s">
        <v>29</v>
      </c>
      <c r="Q8" s="2" t="s">
        <v>30</v>
      </c>
      <c r="R8" s="2" t="s">
        <v>48</v>
      </c>
      <c r="S8" s="2" t="s">
        <v>32</v>
      </c>
      <c r="T8" s="2" t="s">
        <v>26</v>
      </c>
      <c r="U8" s="2" t="s">
        <v>33</v>
      </c>
      <c r="V8" s="2" t="s">
        <v>50</v>
      </c>
      <c r="W8" s="2" t="s">
        <v>43</v>
      </c>
      <c r="X8" s="2" t="s">
        <v>44</v>
      </c>
    </row>
    <row r="9" spans="1:24" x14ac:dyDescent="0.3">
      <c r="A9" s="2" t="s">
        <v>45</v>
      </c>
      <c r="B9" s="2">
        <v>21</v>
      </c>
      <c r="C9" s="2" t="s">
        <v>24</v>
      </c>
      <c r="D9" s="2">
        <v>2</v>
      </c>
      <c r="E9" s="2">
        <v>3</v>
      </c>
      <c r="F9" s="2">
        <v>7</v>
      </c>
      <c r="G9" s="2">
        <v>4</v>
      </c>
      <c r="H9" s="2">
        <v>6</v>
      </c>
      <c r="I9" s="2">
        <v>1</v>
      </c>
      <c r="J9" s="2">
        <v>5</v>
      </c>
      <c r="K9" s="2" t="s">
        <v>24</v>
      </c>
      <c r="L9" s="2" t="s">
        <v>59</v>
      </c>
      <c r="M9" s="2" t="s">
        <v>26</v>
      </c>
      <c r="N9" s="2" t="s">
        <v>27</v>
      </c>
      <c r="O9" s="2" t="s">
        <v>46</v>
      </c>
      <c r="P9" s="2" t="s">
        <v>29</v>
      </c>
      <c r="Q9" s="2" t="s">
        <v>30</v>
      </c>
      <c r="R9" s="2" t="s">
        <v>31</v>
      </c>
      <c r="S9" s="2" t="s">
        <v>32</v>
      </c>
      <c r="T9" s="2" t="s">
        <v>26</v>
      </c>
      <c r="U9" s="2" t="s">
        <v>33</v>
      </c>
      <c r="V9" s="2" t="s">
        <v>50</v>
      </c>
      <c r="W9" s="2" t="s">
        <v>58</v>
      </c>
      <c r="X9" s="2" t="s">
        <v>36</v>
      </c>
    </row>
    <row r="10" spans="1:24" x14ac:dyDescent="0.3">
      <c r="A10" s="2" t="s">
        <v>45</v>
      </c>
      <c r="B10" s="2">
        <v>35</v>
      </c>
      <c r="C10" s="2" t="s">
        <v>24</v>
      </c>
      <c r="D10" s="2">
        <v>2</v>
      </c>
      <c r="E10" s="2">
        <v>4</v>
      </c>
      <c r="F10" s="2">
        <v>7</v>
      </c>
      <c r="G10" s="2">
        <v>5</v>
      </c>
      <c r="H10" s="2">
        <v>3</v>
      </c>
      <c r="I10" s="2">
        <v>1</v>
      </c>
      <c r="J10" s="2">
        <v>6</v>
      </c>
      <c r="K10" s="2" t="s">
        <v>24</v>
      </c>
      <c r="L10" s="2" t="s">
        <v>25</v>
      </c>
      <c r="M10" s="2" t="s">
        <v>62</v>
      </c>
      <c r="N10" s="2" t="s">
        <v>63</v>
      </c>
      <c r="O10" s="2" t="s">
        <v>28</v>
      </c>
      <c r="P10" s="2" t="s">
        <v>40</v>
      </c>
      <c r="Q10" s="2" t="s">
        <v>30</v>
      </c>
      <c r="R10" s="2" t="s">
        <v>48</v>
      </c>
      <c r="S10" s="2" t="s">
        <v>32</v>
      </c>
      <c r="T10" s="2" t="s">
        <v>26</v>
      </c>
      <c r="U10" s="2" t="s">
        <v>55</v>
      </c>
      <c r="V10" s="2" t="s">
        <v>34</v>
      </c>
      <c r="W10" s="2" t="s">
        <v>35</v>
      </c>
      <c r="X10" s="2" t="s">
        <v>51</v>
      </c>
    </row>
    <row r="11" spans="1:24" x14ac:dyDescent="0.3">
      <c r="A11" s="2" t="s">
        <v>45</v>
      </c>
      <c r="B11" s="2">
        <v>31</v>
      </c>
      <c r="C11" s="2" t="s">
        <v>24</v>
      </c>
      <c r="D11" s="2">
        <v>1</v>
      </c>
      <c r="E11" s="2">
        <v>3</v>
      </c>
      <c r="F11" s="2">
        <v>7</v>
      </c>
      <c r="G11" s="2">
        <v>4</v>
      </c>
      <c r="H11" s="2">
        <v>5</v>
      </c>
      <c r="I11" s="2">
        <v>2</v>
      </c>
      <c r="J11" s="2">
        <v>6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46</v>
      </c>
      <c r="P11" s="2" t="s">
        <v>29</v>
      </c>
      <c r="Q11" s="2" t="s">
        <v>60</v>
      </c>
      <c r="R11" s="2" t="s">
        <v>64</v>
      </c>
      <c r="S11" s="2" t="s">
        <v>32</v>
      </c>
      <c r="T11" s="2" t="s">
        <v>26</v>
      </c>
      <c r="U11" s="2" t="s">
        <v>55</v>
      </c>
      <c r="V11" s="2" t="s">
        <v>50</v>
      </c>
      <c r="W11" s="2" t="s">
        <v>35</v>
      </c>
      <c r="X11" s="2" t="s">
        <v>36</v>
      </c>
    </row>
    <row r="12" spans="1:24" x14ac:dyDescent="0.3">
      <c r="A12" s="2" t="s">
        <v>23</v>
      </c>
      <c r="B12" s="2">
        <v>35</v>
      </c>
      <c r="C12" s="2" t="s">
        <v>24</v>
      </c>
      <c r="D12" s="2">
        <v>2</v>
      </c>
      <c r="E12" s="2">
        <v>4</v>
      </c>
      <c r="F12" s="2">
        <v>7</v>
      </c>
      <c r="G12" s="2">
        <v>5</v>
      </c>
      <c r="H12" s="2">
        <v>3</v>
      </c>
      <c r="I12" s="2">
        <v>1</v>
      </c>
      <c r="J12" s="2">
        <v>6</v>
      </c>
      <c r="K12" s="2" t="s">
        <v>24</v>
      </c>
      <c r="L12" s="2" t="s">
        <v>59</v>
      </c>
      <c r="M12" s="2" t="s">
        <v>62</v>
      </c>
      <c r="N12" s="2" t="s">
        <v>63</v>
      </c>
      <c r="O12" s="2" t="s">
        <v>46</v>
      </c>
      <c r="P12" s="2" t="s">
        <v>29</v>
      </c>
      <c r="Q12" s="2" t="s">
        <v>30</v>
      </c>
      <c r="R12" s="2" t="s">
        <v>31</v>
      </c>
      <c r="S12" s="2" t="s">
        <v>32</v>
      </c>
      <c r="T12" s="2" t="s">
        <v>26</v>
      </c>
      <c r="U12" s="2" t="s">
        <v>33</v>
      </c>
      <c r="V12" s="2" t="s">
        <v>50</v>
      </c>
      <c r="W12" s="2" t="s">
        <v>58</v>
      </c>
      <c r="X12" s="2" t="s">
        <v>44</v>
      </c>
    </row>
    <row r="13" spans="1:24" x14ac:dyDescent="0.3">
      <c r="A13" s="2" t="s">
        <v>45</v>
      </c>
      <c r="B13" s="2">
        <v>29</v>
      </c>
      <c r="C13" s="2" t="s">
        <v>24</v>
      </c>
      <c r="D13" s="2">
        <v>2</v>
      </c>
      <c r="E13" s="2">
        <v>5</v>
      </c>
      <c r="F13" s="2">
        <v>7</v>
      </c>
      <c r="G13" s="2">
        <v>6</v>
      </c>
      <c r="H13" s="2">
        <v>3</v>
      </c>
      <c r="I13" s="2">
        <v>1</v>
      </c>
      <c r="J13" s="2">
        <v>4</v>
      </c>
      <c r="K13" s="2" t="s">
        <v>24</v>
      </c>
      <c r="L13" s="2" t="s">
        <v>59</v>
      </c>
      <c r="M13" s="2" t="s">
        <v>26</v>
      </c>
      <c r="N13" s="2" t="s">
        <v>27</v>
      </c>
      <c r="O13" s="2" t="s">
        <v>28</v>
      </c>
      <c r="P13" s="2" t="s">
        <v>29</v>
      </c>
      <c r="Q13" s="2" t="s">
        <v>30</v>
      </c>
      <c r="R13" s="2" t="s">
        <v>31</v>
      </c>
      <c r="S13" s="2" t="s">
        <v>32</v>
      </c>
      <c r="T13" s="2" t="s">
        <v>26</v>
      </c>
      <c r="U13" s="2" t="s">
        <v>55</v>
      </c>
      <c r="V13" s="2" t="s">
        <v>50</v>
      </c>
      <c r="W13" s="2" t="s">
        <v>35</v>
      </c>
      <c r="X13" s="2" t="s">
        <v>44</v>
      </c>
    </row>
    <row r="14" spans="1:24" x14ac:dyDescent="0.3">
      <c r="A14" s="2" t="s">
        <v>23</v>
      </c>
      <c r="B14" s="2">
        <v>21</v>
      </c>
      <c r="C14" s="2" t="s">
        <v>37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 t="s">
        <v>37</v>
      </c>
      <c r="L14" s="2" t="s">
        <v>25</v>
      </c>
      <c r="M14" s="2" t="s">
        <v>26</v>
      </c>
      <c r="N14" s="2" t="s">
        <v>63</v>
      </c>
      <c r="O14" s="2" t="s">
        <v>28</v>
      </c>
      <c r="P14" s="2" t="s">
        <v>40</v>
      </c>
      <c r="Q14" s="2" t="s">
        <v>30</v>
      </c>
      <c r="R14" s="2" t="s">
        <v>31</v>
      </c>
      <c r="S14" s="2" t="s">
        <v>65</v>
      </c>
      <c r="T14" s="2" t="s">
        <v>42</v>
      </c>
      <c r="U14" s="2" t="s">
        <v>33</v>
      </c>
      <c r="V14" s="2" t="s">
        <v>34</v>
      </c>
      <c r="W14" s="2" t="s">
        <v>58</v>
      </c>
      <c r="X14" s="2" t="s">
        <v>57</v>
      </c>
    </row>
    <row r="15" spans="1:24" x14ac:dyDescent="0.3">
      <c r="A15" s="2" t="s">
        <v>23</v>
      </c>
      <c r="B15" s="2">
        <v>28</v>
      </c>
      <c r="C15" s="2" t="s">
        <v>24</v>
      </c>
      <c r="D15" s="2">
        <v>2</v>
      </c>
      <c r="E15" s="2">
        <v>3</v>
      </c>
      <c r="F15" s="2">
        <v>7</v>
      </c>
      <c r="G15" s="2">
        <v>4</v>
      </c>
      <c r="H15" s="2">
        <v>5</v>
      </c>
      <c r="I15" s="2">
        <v>1</v>
      </c>
      <c r="J15" s="2">
        <v>6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29</v>
      </c>
      <c r="Q15" s="2" t="s">
        <v>30</v>
      </c>
      <c r="R15" s="2" t="s">
        <v>31</v>
      </c>
      <c r="S15" s="2" t="s">
        <v>32</v>
      </c>
      <c r="T15" s="2" t="s">
        <v>26</v>
      </c>
      <c r="U15" s="2" t="s">
        <v>55</v>
      </c>
      <c r="V15" s="2" t="s">
        <v>50</v>
      </c>
      <c r="W15" s="2" t="s">
        <v>58</v>
      </c>
      <c r="X15" s="2" t="s">
        <v>36</v>
      </c>
    </row>
    <row r="16" spans="1:24" x14ac:dyDescent="0.3">
      <c r="A16" s="2" t="s">
        <v>23</v>
      </c>
      <c r="B16" s="2">
        <v>25</v>
      </c>
      <c r="C16" s="2" t="s">
        <v>24</v>
      </c>
      <c r="D16" s="2">
        <v>2</v>
      </c>
      <c r="E16" s="2">
        <v>3</v>
      </c>
      <c r="F16" s="2">
        <v>7</v>
      </c>
      <c r="G16" s="2">
        <v>5</v>
      </c>
      <c r="H16" s="2">
        <v>4</v>
      </c>
      <c r="I16" s="2">
        <v>1</v>
      </c>
      <c r="J16" s="2">
        <v>6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29</v>
      </c>
      <c r="Q16" s="2" t="s">
        <v>30</v>
      </c>
      <c r="R16" s="2" t="s">
        <v>64</v>
      </c>
      <c r="S16" s="2" t="s">
        <v>41</v>
      </c>
      <c r="T16" s="2" t="s">
        <v>42</v>
      </c>
      <c r="U16" s="2" t="s">
        <v>33</v>
      </c>
      <c r="V16" s="2" t="s">
        <v>50</v>
      </c>
      <c r="W16" s="2" t="s">
        <v>58</v>
      </c>
      <c r="X16" s="2" t="s">
        <v>44</v>
      </c>
    </row>
    <row r="17" spans="1:24" x14ac:dyDescent="0.3">
      <c r="A17" s="2" t="s">
        <v>45</v>
      </c>
      <c r="B17" s="2">
        <v>27</v>
      </c>
      <c r="C17" s="2" t="s">
        <v>24</v>
      </c>
      <c r="D17" s="2">
        <v>2</v>
      </c>
      <c r="E17" s="2">
        <v>3</v>
      </c>
      <c r="F17" s="2">
        <v>7</v>
      </c>
      <c r="G17" s="2">
        <v>5</v>
      </c>
      <c r="H17" s="2">
        <v>4</v>
      </c>
      <c r="I17" s="2">
        <v>1</v>
      </c>
      <c r="J17" s="2">
        <v>6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29</v>
      </c>
      <c r="Q17" s="2" t="s">
        <v>30</v>
      </c>
      <c r="R17" s="2" t="s">
        <v>31</v>
      </c>
      <c r="S17" s="2" t="s">
        <v>41</v>
      </c>
      <c r="T17" s="2" t="s">
        <v>26</v>
      </c>
      <c r="U17" s="2" t="s">
        <v>55</v>
      </c>
      <c r="V17" s="2" t="s">
        <v>50</v>
      </c>
      <c r="W17" s="2" t="s">
        <v>58</v>
      </c>
      <c r="X17" s="2" t="s">
        <v>36</v>
      </c>
    </row>
    <row r="18" spans="1:24" x14ac:dyDescent="0.3">
      <c r="A18" s="2" t="s">
        <v>23</v>
      </c>
      <c r="B18" s="2">
        <v>28</v>
      </c>
      <c r="C18" s="2" t="s">
        <v>24</v>
      </c>
      <c r="D18" s="2">
        <v>3</v>
      </c>
      <c r="E18" s="2">
        <v>2</v>
      </c>
      <c r="F18" s="2">
        <v>7</v>
      </c>
      <c r="G18" s="2">
        <v>5</v>
      </c>
      <c r="H18" s="2">
        <v>4</v>
      </c>
      <c r="I18" s="2">
        <v>1</v>
      </c>
      <c r="J18" s="2">
        <v>6</v>
      </c>
      <c r="K18" s="2" t="s">
        <v>24</v>
      </c>
      <c r="L18" s="2" t="s">
        <v>59</v>
      </c>
      <c r="M18" s="2" t="s">
        <v>62</v>
      </c>
      <c r="N18" s="2" t="s">
        <v>27</v>
      </c>
      <c r="O18" s="2" t="s">
        <v>28</v>
      </c>
      <c r="P18" s="2" t="s">
        <v>29</v>
      </c>
      <c r="Q18" s="2" t="s">
        <v>30</v>
      </c>
      <c r="R18" s="2" t="s">
        <v>64</v>
      </c>
      <c r="S18" s="2" t="s">
        <v>41</v>
      </c>
      <c r="T18" s="2" t="s">
        <v>26</v>
      </c>
      <c r="U18" s="2" t="s">
        <v>55</v>
      </c>
      <c r="V18" s="2" t="s">
        <v>50</v>
      </c>
      <c r="W18" s="2" t="s">
        <v>58</v>
      </c>
      <c r="X18" s="2" t="s">
        <v>51</v>
      </c>
    </row>
    <row r="19" spans="1:24" x14ac:dyDescent="0.3">
      <c r="A19" s="2" t="s">
        <v>45</v>
      </c>
      <c r="B19" s="2">
        <v>27</v>
      </c>
      <c r="C19" s="2" t="s">
        <v>24</v>
      </c>
      <c r="D19" s="2">
        <v>3</v>
      </c>
      <c r="E19" s="2">
        <v>2</v>
      </c>
      <c r="F19" s="2">
        <v>7</v>
      </c>
      <c r="G19" s="2">
        <v>4</v>
      </c>
      <c r="H19" s="2">
        <v>5</v>
      </c>
      <c r="I19" s="2">
        <v>1</v>
      </c>
      <c r="J19" s="2">
        <v>6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29</v>
      </c>
      <c r="Q19" s="2" t="s">
        <v>30</v>
      </c>
      <c r="R19" s="2" t="s">
        <v>31</v>
      </c>
      <c r="S19" s="2" t="s">
        <v>32</v>
      </c>
      <c r="T19" s="2" t="s">
        <v>26</v>
      </c>
      <c r="U19" s="2" t="s">
        <v>33</v>
      </c>
      <c r="V19" s="2" t="s">
        <v>50</v>
      </c>
      <c r="W19" s="2" t="s">
        <v>58</v>
      </c>
      <c r="X19" s="2" t="s">
        <v>44</v>
      </c>
    </row>
    <row r="20" spans="1:24" x14ac:dyDescent="0.3">
      <c r="A20" s="2" t="s">
        <v>45</v>
      </c>
      <c r="B20" s="2">
        <v>29</v>
      </c>
      <c r="C20" s="2" t="s">
        <v>24</v>
      </c>
      <c r="D20" s="2">
        <v>3</v>
      </c>
      <c r="E20" s="2">
        <v>2</v>
      </c>
      <c r="F20" s="2">
        <v>7</v>
      </c>
      <c r="G20" s="2">
        <v>4</v>
      </c>
      <c r="H20" s="2">
        <v>5</v>
      </c>
      <c r="I20" s="2">
        <v>1</v>
      </c>
      <c r="J20" s="2">
        <v>6</v>
      </c>
      <c r="K20" s="2" t="s">
        <v>24</v>
      </c>
      <c r="L20" s="2" t="s">
        <v>59</v>
      </c>
      <c r="M20" s="2" t="s">
        <v>26</v>
      </c>
      <c r="N20" s="2" t="s">
        <v>27</v>
      </c>
      <c r="O20" s="2" t="s">
        <v>28</v>
      </c>
      <c r="P20" s="2" t="s">
        <v>29</v>
      </c>
      <c r="Q20" s="2" t="s">
        <v>30</v>
      </c>
      <c r="R20" s="2" t="s">
        <v>31</v>
      </c>
      <c r="S20" s="2" t="s">
        <v>32</v>
      </c>
      <c r="T20" s="2" t="s">
        <v>26</v>
      </c>
      <c r="U20" s="2" t="s">
        <v>33</v>
      </c>
      <c r="V20" s="2" t="s">
        <v>50</v>
      </c>
      <c r="W20" s="2" t="s">
        <v>58</v>
      </c>
      <c r="X20" s="2" t="s">
        <v>36</v>
      </c>
    </row>
    <row r="21" spans="1:24" x14ac:dyDescent="0.3">
      <c r="A21" s="2" t="s">
        <v>45</v>
      </c>
      <c r="B21" s="2">
        <v>26</v>
      </c>
      <c r="C21" s="2" t="s">
        <v>24</v>
      </c>
      <c r="D21" s="2">
        <v>3</v>
      </c>
      <c r="E21" s="2">
        <v>4</v>
      </c>
      <c r="F21" s="2">
        <v>6</v>
      </c>
      <c r="G21" s="2">
        <v>5</v>
      </c>
      <c r="H21" s="2">
        <v>1</v>
      </c>
      <c r="I21" s="2">
        <v>2</v>
      </c>
      <c r="J21" s="2">
        <v>7</v>
      </c>
      <c r="K21" s="2" t="s">
        <v>24</v>
      </c>
      <c r="L21" s="2" t="s">
        <v>59</v>
      </c>
      <c r="M21" s="2" t="s">
        <v>26</v>
      </c>
      <c r="N21" s="2" t="s">
        <v>27</v>
      </c>
      <c r="O21" s="2" t="s">
        <v>46</v>
      </c>
      <c r="P21" s="2" t="s">
        <v>29</v>
      </c>
      <c r="Q21" s="2" t="s">
        <v>30</v>
      </c>
      <c r="R21" s="2" t="s">
        <v>64</v>
      </c>
      <c r="S21" s="2" t="s">
        <v>41</v>
      </c>
      <c r="T21" s="2" t="s">
        <v>26</v>
      </c>
      <c r="U21" s="2" t="s">
        <v>55</v>
      </c>
      <c r="V21" s="2" t="s">
        <v>50</v>
      </c>
      <c r="W21" s="2" t="s">
        <v>58</v>
      </c>
      <c r="X21" s="2" t="s">
        <v>36</v>
      </c>
    </row>
    <row r="22" spans="1:24" x14ac:dyDescent="0.3">
      <c r="A22" s="2" t="s">
        <v>45</v>
      </c>
      <c r="B22" s="2">
        <v>29</v>
      </c>
      <c r="C22" s="2" t="s">
        <v>24</v>
      </c>
      <c r="D22" s="2">
        <v>2</v>
      </c>
      <c r="E22" s="2">
        <v>4</v>
      </c>
      <c r="F22" s="2">
        <v>7</v>
      </c>
      <c r="G22" s="2">
        <v>5</v>
      </c>
      <c r="H22" s="2">
        <v>3</v>
      </c>
      <c r="I22" s="2">
        <v>1</v>
      </c>
      <c r="J22" s="2">
        <v>6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46</v>
      </c>
      <c r="P22" s="2" t="s">
        <v>40</v>
      </c>
      <c r="Q22" s="2" t="s">
        <v>30</v>
      </c>
      <c r="R22" s="2" t="s">
        <v>31</v>
      </c>
      <c r="S22" s="2" t="s">
        <v>32</v>
      </c>
      <c r="T22" s="2" t="s">
        <v>26</v>
      </c>
      <c r="U22" s="2" t="s">
        <v>33</v>
      </c>
      <c r="V22" s="2" t="s">
        <v>50</v>
      </c>
      <c r="W22" s="2" t="s">
        <v>35</v>
      </c>
      <c r="X22" s="2" t="s">
        <v>44</v>
      </c>
    </row>
    <row r="23" spans="1:24" x14ac:dyDescent="0.3">
      <c r="A23" s="2" t="s">
        <v>23</v>
      </c>
      <c r="B23" s="2">
        <v>24</v>
      </c>
      <c r="C23" s="2" t="s">
        <v>24</v>
      </c>
      <c r="D23" s="2">
        <v>2</v>
      </c>
      <c r="E23" s="2">
        <v>4</v>
      </c>
      <c r="F23" s="2">
        <v>5</v>
      </c>
      <c r="G23" s="2">
        <v>6</v>
      </c>
      <c r="H23" s="2">
        <v>3</v>
      </c>
      <c r="I23" s="2">
        <v>1</v>
      </c>
      <c r="J23" s="2">
        <v>7</v>
      </c>
      <c r="K23" s="2" t="s">
        <v>24</v>
      </c>
      <c r="L23" s="2" t="s">
        <v>59</v>
      </c>
      <c r="M23" s="2" t="s">
        <v>26</v>
      </c>
      <c r="N23" s="2" t="s">
        <v>27</v>
      </c>
      <c r="O23" s="2" t="s">
        <v>46</v>
      </c>
      <c r="P23" s="2" t="s">
        <v>29</v>
      </c>
      <c r="Q23" s="2" t="s">
        <v>30</v>
      </c>
      <c r="R23" s="2" t="s">
        <v>48</v>
      </c>
      <c r="S23" s="2" t="s">
        <v>41</v>
      </c>
      <c r="T23" s="2" t="s">
        <v>26</v>
      </c>
      <c r="U23" s="2" t="s">
        <v>33</v>
      </c>
      <c r="V23" s="2" t="s">
        <v>50</v>
      </c>
      <c r="W23" s="2" t="s">
        <v>58</v>
      </c>
      <c r="X23" s="2" t="s">
        <v>36</v>
      </c>
    </row>
    <row r="24" spans="1:24" x14ac:dyDescent="0.3">
      <c r="A24" s="2" t="s">
        <v>45</v>
      </c>
      <c r="B24" s="2">
        <v>27</v>
      </c>
      <c r="C24" s="2" t="s">
        <v>24</v>
      </c>
      <c r="D24" s="2">
        <v>3</v>
      </c>
      <c r="E24" s="2">
        <v>4</v>
      </c>
      <c r="F24" s="2">
        <v>6</v>
      </c>
      <c r="G24" s="2">
        <v>5</v>
      </c>
      <c r="H24" s="2">
        <v>2</v>
      </c>
      <c r="I24" s="2">
        <v>1</v>
      </c>
      <c r="J24" s="2">
        <v>7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46</v>
      </c>
      <c r="P24" s="2" t="s">
        <v>29</v>
      </c>
      <c r="Q24" s="2" t="s">
        <v>30</v>
      </c>
      <c r="R24" s="2" t="s">
        <v>31</v>
      </c>
      <c r="S24" s="2" t="s">
        <v>32</v>
      </c>
      <c r="T24" s="2" t="s">
        <v>26</v>
      </c>
      <c r="U24" s="2" t="s">
        <v>33</v>
      </c>
      <c r="V24" s="2" t="s">
        <v>50</v>
      </c>
      <c r="W24" s="2" t="s">
        <v>58</v>
      </c>
      <c r="X24" s="2" t="s">
        <v>44</v>
      </c>
    </row>
    <row r="25" spans="1:24" x14ac:dyDescent="0.3">
      <c r="A25" s="2" t="s">
        <v>45</v>
      </c>
      <c r="B25" s="2">
        <v>25</v>
      </c>
      <c r="C25" s="2" t="s">
        <v>24</v>
      </c>
      <c r="D25" s="2">
        <v>2</v>
      </c>
      <c r="E25" s="2">
        <v>4</v>
      </c>
      <c r="F25" s="2">
        <v>6</v>
      </c>
      <c r="G25" s="2">
        <v>5</v>
      </c>
      <c r="H25" s="2">
        <v>3</v>
      </c>
      <c r="I25" s="2">
        <v>1</v>
      </c>
      <c r="J25" s="2">
        <v>7</v>
      </c>
      <c r="K25" s="2" t="s">
        <v>24</v>
      </c>
      <c r="L25" s="2" t="s">
        <v>59</v>
      </c>
      <c r="M25" s="2" t="s">
        <v>62</v>
      </c>
      <c r="N25" s="2" t="s">
        <v>63</v>
      </c>
      <c r="O25" s="2" t="s">
        <v>46</v>
      </c>
      <c r="P25" s="2" t="s">
        <v>40</v>
      </c>
      <c r="Q25" s="2" t="s">
        <v>30</v>
      </c>
      <c r="R25" s="2" t="s">
        <v>66</v>
      </c>
      <c r="S25" s="2" t="s">
        <v>41</v>
      </c>
      <c r="T25" s="2" t="s">
        <v>61</v>
      </c>
      <c r="U25" s="2" t="s">
        <v>33</v>
      </c>
      <c r="V25" s="2" t="s">
        <v>50</v>
      </c>
      <c r="W25" s="2" t="s">
        <v>58</v>
      </c>
      <c r="X25" s="2" t="s">
        <v>44</v>
      </c>
    </row>
    <row r="26" spans="1:24" x14ac:dyDescent="0.3">
      <c r="A26" s="2" t="s">
        <v>23</v>
      </c>
      <c r="B26" s="2">
        <v>26</v>
      </c>
      <c r="C26" s="2" t="s">
        <v>24</v>
      </c>
      <c r="D26" s="2">
        <v>2</v>
      </c>
      <c r="E26" s="2">
        <v>3</v>
      </c>
      <c r="F26" s="2">
        <v>7</v>
      </c>
      <c r="G26" s="2">
        <v>5</v>
      </c>
      <c r="H26" s="2">
        <v>4</v>
      </c>
      <c r="I26" s="2">
        <v>1</v>
      </c>
      <c r="J26" s="2">
        <v>6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46</v>
      </c>
      <c r="P26" s="2" t="s">
        <v>29</v>
      </c>
      <c r="Q26" s="2" t="s">
        <v>60</v>
      </c>
      <c r="R26" s="2" t="s">
        <v>66</v>
      </c>
      <c r="S26" s="2" t="s">
        <v>32</v>
      </c>
      <c r="T26" s="2" t="s">
        <v>26</v>
      </c>
      <c r="U26" s="2" t="s">
        <v>33</v>
      </c>
      <c r="V26" s="2" t="s">
        <v>50</v>
      </c>
      <c r="W26" s="2" t="s">
        <v>58</v>
      </c>
      <c r="X26" s="2" t="s">
        <v>36</v>
      </c>
    </row>
    <row r="27" spans="1:24" x14ac:dyDescent="0.3">
      <c r="A27" s="2" t="s">
        <v>23</v>
      </c>
      <c r="B27" s="2">
        <v>32</v>
      </c>
      <c r="C27" s="2" t="s">
        <v>24</v>
      </c>
      <c r="D27" s="2">
        <v>3</v>
      </c>
      <c r="E27" s="2">
        <v>4</v>
      </c>
      <c r="F27" s="2">
        <v>7</v>
      </c>
      <c r="G27" s="2">
        <v>5</v>
      </c>
      <c r="H27" s="2">
        <v>1</v>
      </c>
      <c r="I27" s="2">
        <v>2</v>
      </c>
      <c r="J27" s="2">
        <v>6</v>
      </c>
      <c r="K27" s="2" t="s">
        <v>24</v>
      </c>
      <c r="L27" s="2" t="s">
        <v>59</v>
      </c>
      <c r="M27" s="2" t="s">
        <v>62</v>
      </c>
      <c r="N27" s="2" t="s">
        <v>27</v>
      </c>
      <c r="O27" s="2" t="s">
        <v>46</v>
      </c>
      <c r="P27" s="2" t="s">
        <v>29</v>
      </c>
      <c r="Q27" s="2" t="s">
        <v>30</v>
      </c>
      <c r="R27" s="2" t="s">
        <v>31</v>
      </c>
      <c r="S27" s="2" t="s">
        <v>32</v>
      </c>
      <c r="T27" s="2" t="s">
        <v>26</v>
      </c>
      <c r="U27" s="2" t="s">
        <v>33</v>
      </c>
      <c r="V27" s="2" t="s">
        <v>50</v>
      </c>
      <c r="W27" s="2" t="s">
        <v>35</v>
      </c>
      <c r="X27" s="2" t="s">
        <v>44</v>
      </c>
    </row>
    <row r="28" spans="1:24" x14ac:dyDescent="0.3">
      <c r="A28" s="2" t="s">
        <v>45</v>
      </c>
      <c r="B28" s="2">
        <v>26</v>
      </c>
      <c r="C28" s="2" t="s">
        <v>24</v>
      </c>
      <c r="D28" s="2">
        <v>3</v>
      </c>
      <c r="E28" s="2">
        <v>4</v>
      </c>
      <c r="F28" s="2">
        <v>6</v>
      </c>
      <c r="G28" s="2">
        <v>5</v>
      </c>
      <c r="H28" s="2">
        <v>1</v>
      </c>
      <c r="I28" s="2">
        <v>2</v>
      </c>
      <c r="J28" s="2">
        <v>7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46</v>
      </c>
      <c r="P28" s="2" t="s">
        <v>29</v>
      </c>
      <c r="Q28" s="2" t="s">
        <v>30</v>
      </c>
      <c r="R28" s="2" t="s">
        <v>31</v>
      </c>
      <c r="S28" s="2" t="s">
        <v>32</v>
      </c>
      <c r="T28" s="2" t="s">
        <v>42</v>
      </c>
      <c r="U28" s="2" t="s">
        <v>55</v>
      </c>
      <c r="V28" s="2" t="s">
        <v>50</v>
      </c>
      <c r="W28" s="2" t="s">
        <v>35</v>
      </c>
      <c r="X28" s="2" t="s">
        <v>44</v>
      </c>
    </row>
    <row r="29" spans="1:24" x14ac:dyDescent="0.3">
      <c r="A29" s="2" t="s">
        <v>45</v>
      </c>
      <c r="B29" s="2">
        <v>31</v>
      </c>
      <c r="C29" s="2" t="s">
        <v>24</v>
      </c>
      <c r="D29" s="2">
        <v>2</v>
      </c>
      <c r="E29" s="2">
        <v>3</v>
      </c>
      <c r="F29" s="2">
        <v>7</v>
      </c>
      <c r="G29" s="2">
        <v>6</v>
      </c>
      <c r="H29" s="2">
        <v>4</v>
      </c>
      <c r="I29" s="2">
        <v>1</v>
      </c>
      <c r="J29" s="2">
        <v>5</v>
      </c>
      <c r="K29" s="2" t="s">
        <v>24</v>
      </c>
      <c r="L29" s="2" t="s">
        <v>59</v>
      </c>
      <c r="M29" s="2" t="s">
        <v>62</v>
      </c>
      <c r="N29" s="2" t="s">
        <v>63</v>
      </c>
      <c r="O29" s="2" t="s">
        <v>28</v>
      </c>
      <c r="P29" s="2" t="s">
        <v>29</v>
      </c>
      <c r="Q29" s="2" t="s">
        <v>30</v>
      </c>
      <c r="R29" s="2" t="s">
        <v>64</v>
      </c>
      <c r="S29" s="2" t="s">
        <v>41</v>
      </c>
      <c r="T29" s="2" t="s">
        <v>26</v>
      </c>
      <c r="U29" s="2" t="s">
        <v>55</v>
      </c>
      <c r="V29" s="2" t="s">
        <v>34</v>
      </c>
      <c r="W29" s="2" t="s">
        <v>35</v>
      </c>
      <c r="X29" s="2" t="s">
        <v>51</v>
      </c>
    </row>
    <row r="30" spans="1:24" x14ac:dyDescent="0.3">
      <c r="A30" s="2" t="s">
        <v>45</v>
      </c>
      <c r="B30" s="2">
        <v>29</v>
      </c>
      <c r="C30" s="2" t="s">
        <v>24</v>
      </c>
      <c r="D30" s="2">
        <v>2</v>
      </c>
      <c r="E30" s="2">
        <v>3</v>
      </c>
      <c r="F30" s="2">
        <v>6</v>
      </c>
      <c r="G30" s="2">
        <v>5</v>
      </c>
      <c r="H30" s="2">
        <v>1</v>
      </c>
      <c r="I30" s="2">
        <v>4</v>
      </c>
      <c r="J30" s="2">
        <v>7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29</v>
      </c>
      <c r="Q30" s="2" t="s">
        <v>30</v>
      </c>
      <c r="R30" s="2" t="s">
        <v>48</v>
      </c>
      <c r="S30" s="2" t="s">
        <v>32</v>
      </c>
      <c r="T30" s="2" t="s">
        <v>26</v>
      </c>
      <c r="U30" s="2" t="s">
        <v>33</v>
      </c>
      <c r="V30" s="2" t="s">
        <v>50</v>
      </c>
      <c r="W30" s="2" t="s">
        <v>58</v>
      </c>
      <c r="X30" s="2" t="s">
        <v>51</v>
      </c>
    </row>
    <row r="31" spans="1:24" x14ac:dyDescent="0.3">
      <c r="A31" s="2" t="s">
        <v>23</v>
      </c>
      <c r="B31" s="2">
        <v>34</v>
      </c>
      <c r="C31" s="2" t="s">
        <v>24</v>
      </c>
      <c r="D31" s="2">
        <v>5</v>
      </c>
      <c r="E31" s="2">
        <v>4</v>
      </c>
      <c r="F31" s="2">
        <v>3</v>
      </c>
      <c r="G31" s="2">
        <v>2</v>
      </c>
      <c r="H31" s="2">
        <v>7</v>
      </c>
      <c r="I31" s="2">
        <v>1</v>
      </c>
      <c r="J31" s="2">
        <v>6</v>
      </c>
      <c r="K31" s="2" t="s">
        <v>24</v>
      </c>
      <c r="L31" s="2" t="s">
        <v>25</v>
      </c>
      <c r="M31" s="2" t="s">
        <v>52</v>
      </c>
      <c r="N31" s="2" t="s">
        <v>25</v>
      </c>
      <c r="O31" s="2" t="s">
        <v>46</v>
      </c>
      <c r="P31" s="2" t="s">
        <v>29</v>
      </c>
      <c r="Q31" s="2" t="s">
        <v>54</v>
      </c>
      <c r="R31" s="2" t="s">
        <v>31</v>
      </c>
      <c r="S31" s="2" t="s">
        <v>32</v>
      </c>
      <c r="T31" s="2" t="s">
        <v>26</v>
      </c>
      <c r="U31" s="2" t="s">
        <v>49</v>
      </c>
      <c r="V31" s="2" t="s">
        <v>34</v>
      </c>
      <c r="W31" s="2" t="s">
        <v>35</v>
      </c>
      <c r="X31" s="2" t="s">
        <v>36</v>
      </c>
    </row>
    <row r="32" spans="1:24" x14ac:dyDescent="0.3">
      <c r="A32" s="2" t="s">
        <v>45</v>
      </c>
      <c r="B32" s="2">
        <v>27</v>
      </c>
      <c r="C32" s="2" t="s">
        <v>24</v>
      </c>
      <c r="D32" s="2">
        <v>4</v>
      </c>
      <c r="E32" s="2">
        <v>5</v>
      </c>
      <c r="F32" s="2">
        <v>1</v>
      </c>
      <c r="G32" s="2">
        <v>2</v>
      </c>
      <c r="H32" s="2">
        <v>7</v>
      </c>
      <c r="I32" s="2">
        <v>3</v>
      </c>
      <c r="J32" s="2">
        <v>6</v>
      </c>
      <c r="K32" s="2" t="s">
        <v>37</v>
      </c>
      <c r="L32" s="2" t="s">
        <v>25</v>
      </c>
      <c r="M32" s="2" t="s">
        <v>62</v>
      </c>
      <c r="N32" s="2" t="s">
        <v>27</v>
      </c>
      <c r="O32" s="2" t="s">
        <v>28</v>
      </c>
      <c r="P32" s="2" t="s">
        <v>29</v>
      </c>
      <c r="Q32" s="2" t="s">
        <v>54</v>
      </c>
      <c r="R32" s="2" t="s">
        <v>31</v>
      </c>
      <c r="S32" s="2" t="s">
        <v>65</v>
      </c>
      <c r="T32" s="2" t="s">
        <v>26</v>
      </c>
      <c r="U32" s="2" t="s">
        <v>49</v>
      </c>
      <c r="V32" s="2" t="s">
        <v>34</v>
      </c>
      <c r="W32" s="2" t="s">
        <v>35</v>
      </c>
      <c r="X32" s="2" t="s">
        <v>51</v>
      </c>
    </row>
    <row r="33" spans="1:24" x14ac:dyDescent="0.3">
      <c r="A33" s="2" t="s">
        <v>23</v>
      </c>
      <c r="B33" s="2">
        <v>31</v>
      </c>
      <c r="C33" s="2" t="s">
        <v>24</v>
      </c>
      <c r="D33" s="2">
        <v>2</v>
      </c>
      <c r="E33" s="2">
        <v>4</v>
      </c>
      <c r="F33" s="2">
        <v>7</v>
      </c>
      <c r="G33" s="2">
        <v>6</v>
      </c>
      <c r="H33" s="2">
        <v>3</v>
      </c>
      <c r="I33" s="2">
        <v>1</v>
      </c>
      <c r="J33" s="2">
        <v>5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46</v>
      </c>
      <c r="P33" s="2" t="s">
        <v>29</v>
      </c>
      <c r="Q33" s="2" t="s">
        <v>30</v>
      </c>
      <c r="R33" s="2" t="s">
        <v>64</v>
      </c>
      <c r="S33" s="2" t="s">
        <v>32</v>
      </c>
      <c r="T33" s="2" t="s">
        <v>26</v>
      </c>
      <c r="U33" s="2" t="s">
        <v>33</v>
      </c>
      <c r="V33" s="2" t="s">
        <v>50</v>
      </c>
      <c r="W33" s="2" t="s">
        <v>35</v>
      </c>
      <c r="X33" s="2" t="s">
        <v>44</v>
      </c>
    </row>
    <row r="34" spans="1:24" x14ac:dyDescent="0.3">
      <c r="A34" s="2" t="s">
        <v>45</v>
      </c>
      <c r="B34" s="2">
        <v>27</v>
      </c>
      <c r="C34" s="2" t="s">
        <v>24</v>
      </c>
      <c r="D34" s="2">
        <v>2</v>
      </c>
      <c r="E34" s="2">
        <v>4</v>
      </c>
      <c r="F34" s="2">
        <v>7</v>
      </c>
      <c r="G34" s="2">
        <v>5</v>
      </c>
      <c r="H34" s="2">
        <v>1</v>
      </c>
      <c r="I34" s="2">
        <v>3</v>
      </c>
      <c r="J34" s="2">
        <v>6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46</v>
      </c>
      <c r="P34" s="2" t="s">
        <v>29</v>
      </c>
      <c r="Q34" s="2" t="s">
        <v>60</v>
      </c>
      <c r="R34" s="2" t="s">
        <v>48</v>
      </c>
      <c r="S34" s="2" t="s">
        <v>41</v>
      </c>
      <c r="T34" s="2" t="s">
        <v>26</v>
      </c>
      <c r="U34" s="2" t="s">
        <v>55</v>
      </c>
      <c r="V34" s="2" t="s">
        <v>50</v>
      </c>
      <c r="W34" s="2" t="s">
        <v>35</v>
      </c>
      <c r="X34" s="2" t="s">
        <v>36</v>
      </c>
    </row>
    <row r="35" spans="1:24" x14ac:dyDescent="0.3">
      <c r="A35" s="2" t="s">
        <v>45</v>
      </c>
      <c r="B35" s="2">
        <v>26</v>
      </c>
      <c r="C35" s="2" t="s">
        <v>24</v>
      </c>
      <c r="D35" s="2">
        <v>2</v>
      </c>
      <c r="E35" s="2">
        <v>3</v>
      </c>
      <c r="F35" s="2">
        <v>6</v>
      </c>
      <c r="G35" s="2">
        <v>4</v>
      </c>
      <c r="H35" s="2">
        <v>1</v>
      </c>
      <c r="I35" s="2">
        <v>5</v>
      </c>
      <c r="J35" s="2">
        <v>7</v>
      </c>
      <c r="K35" s="2" t="s">
        <v>24</v>
      </c>
      <c r="L35" s="2" t="s">
        <v>25</v>
      </c>
      <c r="M35" s="2" t="s">
        <v>26</v>
      </c>
      <c r="N35" s="2" t="s">
        <v>25</v>
      </c>
      <c r="O35" s="2" t="s">
        <v>28</v>
      </c>
      <c r="P35" s="2" t="s">
        <v>29</v>
      </c>
      <c r="Q35" s="2" t="s">
        <v>30</v>
      </c>
      <c r="R35" s="2" t="s">
        <v>64</v>
      </c>
      <c r="S35" s="2" t="s">
        <v>65</v>
      </c>
      <c r="T35" s="2" t="s">
        <v>42</v>
      </c>
      <c r="U35" s="2" t="s">
        <v>33</v>
      </c>
      <c r="V35" s="2" t="s">
        <v>34</v>
      </c>
      <c r="W35" s="2" t="s">
        <v>58</v>
      </c>
      <c r="X35" s="2" t="s">
        <v>36</v>
      </c>
    </row>
    <row r="36" spans="1:24" x14ac:dyDescent="0.3">
      <c r="A36" s="2" t="s">
        <v>45</v>
      </c>
      <c r="B36" s="2">
        <v>27</v>
      </c>
      <c r="C36" s="2" t="s">
        <v>24</v>
      </c>
      <c r="D36" s="2">
        <v>2</v>
      </c>
      <c r="E36" s="2">
        <v>3</v>
      </c>
      <c r="F36" s="2">
        <v>6</v>
      </c>
      <c r="G36" s="2">
        <v>5</v>
      </c>
      <c r="H36" s="2">
        <v>4</v>
      </c>
      <c r="I36" s="2">
        <v>1</v>
      </c>
      <c r="J36" s="2">
        <v>7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40</v>
      </c>
      <c r="Q36" s="2" t="s">
        <v>30</v>
      </c>
      <c r="R36" s="2" t="s">
        <v>31</v>
      </c>
      <c r="S36" s="2" t="s">
        <v>41</v>
      </c>
      <c r="T36" s="2" t="s">
        <v>26</v>
      </c>
      <c r="U36" s="2" t="s">
        <v>33</v>
      </c>
      <c r="V36" s="2" t="s">
        <v>34</v>
      </c>
      <c r="W36" s="2" t="s">
        <v>35</v>
      </c>
      <c r="X36" s="2" t="s">
        <v>44</v>
      </c>
    </row>
    <row r="37" spans="1:24" x14ac:dyDescent="0.3">
      <c r="A37" s="2" t="s">
        <v>45</v>
      </c>
      <c r="B37" s="2">
        <v>30</v>
      </c>
      <c r="C37" s="2" t="s">
        <v>24</v>
      </c>
      <c r="D37" s="2">
        <v>1</v>
      </c>
      <c r="E37" s="2">
        <v>4</v>
      </c>
      <c r="F37" s="2">
        <v>6</v>
      </c>
      <c r="G37" s="2">
        <v>5</v>
      </c>
      <c r="H37" s="2">
        <v>3</v>
      </c>
      <c r="I37" s="2">
        <v>2</v>
      </c>
      <c r="J37" s="2">
        <v>7</v>
      </c>
      <c r="K37" s="2" t="s">
        <v>24</v>
      </c>
      <c r="L37" s="2" t="s">
        <v>59</v>
      </c>
      <c r="M37" s="2" t="s">
        <v>62</v>
      </c>
      <c r="N37" s="2" t="s">
        <v>27</v>
      </c>
      <c r="O37" s="2" t="s">
        <v>46</v>
      </c>
      <c r="P37" s="2" t="s">
        <v>29</v>
      </c>
      <c r="Q37" s="2" t="s">
        <v>30</v>
      </c>
      <c r="R37" s="2" t="s">
        <v>64</v>
      </c>
      <c r="S37" s="2" t="s">
        <v>41</v>
      </c>
      <c r="T37" s="2" t="s">
        <v>26</v>
      </c>
      <c r="U37" s="2" t="s">
        <v>33</v>
      </c>
      <c r="V37" s="2" t="s">
        <v>50</v>
      </c>
      <c r="W37" s="2" t="s">
        <v>35</v>
      </c>
      <c r="X37" s="2" t="s">
        <v>44</v>
      </c>
    </row>
    <row r="38" spans="1:24" x14ac:dyDescent="0.3">
      <c r="A38" s="2" t="s">
        <v>45</v>
      </c>
      <c r="B38" s="2">
        <v>30</v>
      </c>
      <c r="C38" s="2" t="s">
        <v>24</v>
      </c>
      <c r="D38" s="2">
        <v>2</v>
      </c>
      <c r="E38" s="2">
        <v>4</v>
      </c>
      <c r="F38" s="2">
        <v>7</v>
      </c>
      <c r="G38" s="2">
        <v>5</v>
      </c>
      <c r="H38" s="2">
        <v>1</v>
      </c>
      <c r="I38" s="2">
        <v>3</v>
      </c>
      <c r="J38" s="2">
        <v>6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29</v>
      </c>
      <c r="Q38" s="2" t="s">
        <v>30</v>
      </c>
      <c r="R38" s="2" t="s">
        <v>48</v>
      </c>
      <c r="S38" s="2" t="s">
        <v>32</v>
      </c>
      <c r="T38" s="2" t="s">
        <v>26</v>
      </c>
      <c r="U38" s="2" t="s">
        <v>33</v>
      </c>
      <c r="V38" s="2" t="s">
        <v>50</v>
      </c>
      <c r="W38" s="2" t="s">
        <v>58</v>
      </c>
      <c r="X38" s="2" t="s">
        <v>36</v>
      </c>
    </row>
    <row r="39" spans="1:24" x14ac:dyDescent="0.3">
      <c r="A39" s="2" t="s">
        <v>45</v>
      </c>
      <c r="B39" s="2">
        <v>25</v>
      </c>
      <c r="C39" s="2" t="s">
        <v>24</v>
      </c>
      <c r="D39" s="2">
        <v>5</v>
      </c>
      <c r="E39" s="2">
        <v>4</v>
      </c>
      <c r="F39" s="2">
        <v>7</v>
      </c>
      <c r="G39" s="2">
        <v>6</v>
      </c>
      <c r="H39" s="2">
        <v>1</v>
      </c>
      <c r="I39" s="2">
        <v>2</v>
      </c>
      <c r="J39" s="2">
        <v>3</v>
      </c>
      <c r="K39" s="2" t="s">
        <v>24</v>
      </c>
      <c r="L39" s="2" t="s">
        <v>59</v>
      </c>
      <c r="M39" s="2" t="s">
        <v>62</v>
      </c>
      <c r="N39" s="2" t="s">
        <v>63</v>
      </c>
      <c r="O39" s="2" t="s">
        <v>46</v>
      </c>
      <c r="P39" s="2" t="s">
        <v>29</v>
      </c>
      <c r="Q39" s="2" t="s">
        <v>60</v>
      </c>
      <c r="R39" s="2" t="s">
        <v>66</v>
      </c>
      <c r="S39" s="2" t="s">
        <v>41</v>
      </c>
      <c r="T39" s="2" t="s">
        <v>26</v>
      </c>
      <c r="U39" s="2" t="s">
        <v>33</v>
      </c>
      <c r="V39" s="2" t="s">
        <v>34</v>
      </c>
      <c r="W39" s="2" t="s">
        <v>35</v>
      </c>
      <c r="X39" s="2" t="s">
        <v>44</v>
      </c>
    </row>
    <row r="40" spans="1:24" x14ac:dyDescent="0.3">
      <c r="A40" s="2" t="s">
        <v>45</v>
      </c>
      <c r="B40" s="2">
        <v>31</v>
      </c>
      <c r="C40" s="2" t="s">
        <v>24</v>
      </c>
      <c r="D40" s="2">
        <v>2</v>
      </c>
      <c r="E40" s="2">
        <v>4</v>
      </c>
      <c r="F40" s="2">
        <v>7</v>
      </c>
      <c r="G40" s="2">
        <v>5</v>
      </c>
      <c r="H40" s="2">
        <v>3</v>
      </c>
      <c r="I40" s="2">
        <v>1</v>
      </c>
      <c r="J40" s="2">
        <v>6</v>
      </c>
      <c r="K40" s="2" t="s">
        <v>24</v>
      </c>
      <c r="L40" s="2" t="s">
        <v>59</v>
      </c>
      <c r="M40" s="2" t="s">
        <v>62</v>
      </c>
      <c r="N40" s="2" t="s">
        <v>27</v>
      </c>
      <c r="O40" s="2" t="s">
        <v>28</v>
      </c>
      <c r="P40" s="2" t="s">
        <v>40</v>
      </c>
      <c r="Q40" s="2" t="s">
        <v>30</v>
      </c>
      <c r="R40" s="2" t="s">
        <v>48</v>
      </c>
      <c r="S40" s="2" t="s">
        <v>41</v>
      </c>
      <c r="T40" s="2" t="s">
        <v>42</v>
      </c>
      <c r="U40" s="2" t="s">
        <v>55</v>
      </c>
      <c r="V40" s="2" t="s">
        <v>50</v>
      </c>
      <c r="W40" s="2" t="s">
        <v>35</v>
      </c>
      <c r="X40" s="2" t="s">
        <v>36</v>
      </c>
    </row>
    <row r="41" spans="1:24" x14ac:dyDescent="0.3">
      <c r="A41" s="2" t="s">
        <v>45</v>
      </c>
      <c r="B41" s="2">
        <v>29</v>
      </c>
      <c r="C41" s="2" t="s">
        <v>24</v>
      </c>
      <c r="D41" s="2">
        <v>4</v>
      </c>
      <c r="E41" s="2">
        <v>3</v>
      </c>
      <c r="F41" s="2">
        <v>5</v>
      </c>
      <c r="G41" s="2">
        <v>7</v>
      </c>
      <c r="H41" s="2">
        <v>2</v>
      </c>
      <c r="I41" s="2">
        <v>1</v>
      </c>
      <c r="J41" s="2">
        <v>6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46</v>
      </c>
      <c r="P41" s="2" t="s">
        <v>29</v>
      </c>
      <c r="Q41" s="2" t="s">
        <v>30</v>
      </c>
      <c r="R41" s="2" t="s">
        <v>64</v>
      </c>
      <c r="S41" s="2" t="s">
        <v>32</v>
      </c>
      <c r="T41" s="2" t="s">
        <v>42</v>
      </c>
      <c r="U41" s="2" t="s">
        <v>33</v>
      </c>
      <c r="V41" s="2" t="s">
        <v>34</v>
      </c>
      <c r="W41" s="2" t="s">
        <v>35</v>
      </c>
      <c r="X41" s="2" t="s">
        <v>44</v>
      </c>
    </row>
    <row r="42" spans="1:24" x14ac:dyDescent="0.3">
      <c r="A42" s="3"/>
    </row>
  </sheetData>
  <autoFilter ref="A1:X41" xr:uid="{CD1E6314-5B0A-4BBB-A046-D84F1B58236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0DB6-8A03-420F-B106-15556878FA95}">
  <dimension ref="A1:F9"/>
  <sheetViews>
    <sheetView workbookViewId="0">
      <selection activeCell="E23" sqref="E23"/>
    </sheetView>
  </sheetViews>
  <sheetFormatPr defaultRowHeight="14.4" x14ac:dyDescent="0.3"/>
  <cols>
    <col min="1" max="1" width="26" customWidth="1"/>
    <col min="2" max="2" width="18.88671875" customWidth="1"/>
    <col min="3" max="3" width="19.109375" customWidth="1"/>
    <col min="4" max="4" width="20.6640625" customWidth="1"/>
    <col min="5" max="5" width="13.77734375" customWidth="1"/>
    <col min="6" max="6" width="15.109375" customWidth="1"/>
  </cols>
  <sheetData>
    <row r="1" spans="1:6" x14ac:dyDescent="0.3">
      <c r="A1" s="8" t="s">
        <v>68</v>
      </c>
      <c r="B1" s="9" t="s">
        <v>69</v>
      </c>
      <c r="C1" s="9" t="s">
        <v>70</v>
      </c>
      <c r="D1" s="9" t="s">
        <v>71</v>
      </c>
      <c r="E1" s="9" t="s">
        <v>72</v>
      </c>
      <c r="F1" s="10" t="s">
        <v>73</v>
      </c>
    </row>
    <row r="2" spans="1:6" x14ac:dyDescent="0.3">
      <c r="A2" s="6" t="s">
        <v>1</v>
      </c>
      <c r="B2" s="2">
        <f>AVERAGE('Data_set 2 - Copy'!B2:B41)</f>
        <v>27.8</v>
      </c>
      <c r="C2" s="2">
        <f>MEDIAN('Data_set 2 - Copy'!B2:B41)</f>
        <v>27</v>
      </c>
      <c r="D2" s="2">
        <f>STDEV('Data_set 2 - Copy'!B2:B41)</f>
        <v>3.560466693696644</v>
      </c>
      <c r="E2" s="2">
        <f>MIN('Data_set 2 - Copy'!B2:B41)</f>
        <v>21</v>
      </c>
      <c r="F2" s="7">
        <f>MAX('Data_set 2 - Copy'!B2:B41)</f>
        <v>35</v>
      </c>
    </row>
    <row r="3" spans="1:6" x14ac:dyDescent="0.3">
      <c r="A3" s="6" t="s">
        <v>74</v>
      </c>
      <c r="B3" s="2">
        <f>AVERAGE('Data_set 2 - Copy'!D2:D41)</f>
        <v>2.5499999999999998</v>
      </c>
      <c r="C3" s="2">
        <f>MEDIAN('Data_set 2 - Copy'!D2:D41)</f>
        <v>2</v>
      </c>
      <c r="D3" s="2">
        <f>STDEV('Data_set 2 - Copy'!D2:D41)</f>
        <v>1.1972189997378644</v>
      </c>
      <c r="E3" s="2">
        <f>MIN('Data_set 2 - Copy'!D2:D41)</f>
        <v>1</v>
      </c>
      <c r="F3" s="7">
        <f>MAX('Data_set 2 - Copy'!D2:D41)</f>
        <v>7</v>
      </c>
    </row>
    <row r="4" spans="1:6" x14ac:dyDescent="0.3">
      <c r="A4" s="6" t="s">
        <v>75</v>
      </c>
      <c r="B4" s="2">
        <f>AVERAGE('Data_set 2 - Copy'!E2:E41)</f>
        <v>3.4750000000000001</v>
      </c>
      <c r="C4" s="2">
        <f>MEDIAN('Data_set 2 - Copy'!E2:E41)</f>
        <v>4</v>
      </c>
      <c r="D4" s="2">
        <f>STDEV('Data_set 2 - Copy'!E2:E41)</f>
        <v>1.1319939294935539</v>
      </c>
      <c r="E4" s="2">
        <f>MIN('Data_set 2 - Copy'!E2:E41)</f>
        <v>1</v>
      </c>
      <c r="F4" s="7">
        <f>MAX('Data_set 2 - Copy'!E2:E41)</f>
        <v>6</v>
      </c>
    </row>
    <row r="5" spans="1:6" x14ac:dyDescent="0.3">
      <c r="A5" s="6" t="s">
        <v>5</v>
      </c>
      <c r="B5" s="2">
        <f>AVERAGE('Data_set 2 - Copy'!F2:F41)</f>
        <v>5.75</v>
      </c>
      <c r="C5" s="2">
        <f>MEDIAN('Data_set 2 - Copy'!F2:F41)</f>
        <v>6.5</v>
      </c>
      <c r="D5" s="2">
        <f>STDEV('Data_set 2 - Copy'!F2:F41)</f>
        <v>1.6756169931378433</v>
      </c>
      <c r="E5" s="2">
        <f>MIN('Data_set 2 - Copy'!F2:F41)</f>
        <v>1</v>
      </c>
      <c r="F5" s="7">
        <f>MAX('Data_set 2 - Copy'!F2:F41)</f>
        <v>7</v>
      </c>
    </row>
    <row r="6" spans="1:6" x14ac:dyDescent="0.3">
      <c r="A6" s="6" t="s">
        <v>76</v>
      </c>
      <c r="B6" s="2">
        <f>AVERAGE('Data_set 2 - Copy'!G2:G41)</f>
        <v>4.6500000000000004</v>
      </c>
      <c r="C6" s="2">
        <f>MEDIAN('Data_set 2 - Copy'!G2:G41)</f>
        <v>5</v>
      </c>
      <c r="D6" s="2">
        <f>STDEV('Data_set 2 - Copy'!G2:G41)</f>
        <v>1.3690723042845381</v>
      </c>
      <c r="E6" s="2">
        <f>MIN('Data_set 2 - Copy'!G2:G41)</f>
        <v>1</v>
      </c>
      <c r="F6" s="7">
        <f>MAX('Data_set 2 - Copy'!G2:G41)</f>
        <v>7</v>
      </c>
    </row>
    <row r="7" spans="1:6" x14ac:dyDescent="0.3">
      <c r="A7" s="6" t="s">
        <v>64</v>
      </c>
      <c r="B7" s="2">
        <f>AVERAGE('Data_set 2 - Copy'!H2:H41)</f>
        <v>3.5750000000000002</v>
      </c>
      <c r="C7" s="2">
        <f>MEDIAN('Data_set 2 - Copy'!H2:H41)</f>
        <v>3.5</v>
      </c>
      <c r="D7" s="2">
        <f>STDEV('Data_set 2 - Copy'!H2:H41)</f>
        <v>1.7958284996067968</v>
      </c>
      <c r="E7" s="2">
        <f>MIN('Data_set 2 - Copy'!H2:H41)</f>
        <v>1</v>
      </c>
      <c r="F7" s="7">
        <f>MAX('Data_set 2 - Copy'!H2:H41)</f>
        <v>7</v>
      </c>
    </row>
    <row r="8" spans="1:6" x14ac:dyDescent="0.3">
      <c r="A8" s="6" t="s">
        <v>8</v>
      </c>
      <c r="B8" s="2">
        <f>AVERAGE('Data_set 2 - Copy'!I2:I41)</f>
        <v>2.0249999999999999</v>
      </c>
      <c r="C8" s="2">
        <f>MEDIAN('Data_set 2 - Copy'!I2:I41)</f>
        <v>1</v>
      </c>
      <c r="D8" s="2">
        <f>STDEV('Data_set 2 - Copy'!I2:I41)</f>
        <v>1.6090688500193409</v>
      </c>
      <c r="E8" s="2">
        <f>MIN('Data_set 2 - Copy'!I2:I41)</f>
        <v>1</v>
      </c>
      <c r="F8" s="7">
        <f>MAX('Data_set 2 - Copy'!I2:I41)</f>
        <v>6</v>
      </c>
    </row>
    <row r="9" spans="1:6" x14ac:dyDescent="0.3">
      <c r="A9" s="11" t="s">
        <v>9</v>
      </c>
      <c r="B9" s="12">
        <f>AVERAGE('Data_set 2 - Copy'!J2:J41)</f>
        <v>5.9749999999999996</v>
      </c>
      <c r="C9" s="12">
        <f>MEDIAN('Data_set 2 - Copy'!J2:J41)</f>
        <v>6</v>
      </c>
      <c r="D9" s="12">
        <f>STDEV('Data_set 2 - Copy'!J2:J41)</f>
        <v>1.1432634351063973</v>
      </c>
      <c r="E9" s="12">
        <f>MIN('Data_set 2 - Copy'!J2:J41)</f>
        <v>2</v>
      </c>
      <c r="F9" s="13">
        <f>MAX('Data_set 2 - Copy'!J2:J41)</f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&amp; Charts</vt:lpstr>
      <vt:lpstr>Data_set 2 - Copy</vt:lpstr>
      <vt:lpstr>Descriptive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Abhishek Reddy</cp:lastModifiedBy>
  <dcterms:created xsi:type="dcterms:W3CDTF">2026-05-05T12:02:25Z</dcterms:created>
  <dcterms:modified xsi:type="dcterms:W3CDTF">2026-05-07T13:25:48Z</dcterms:modified>
</cp:coreProperties>
</file>